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2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os\Data Science\Projeto Varsity girls 25-26\Dados organizados individual\"/>
    </mc:Choice>
  </mc:AlternateContent>
  <xr:revisionPtr revIDLastSave="0" documentId="13_ncr:1_{2DC8FF6D-F0C4-4567-9D7A-D28B0DE2009D}" xr6:coauthVersionLast="47" xr6:coauthVersionMax="47" xr10:uidLastSave="{00000000-0000-0000-0000-000000000000}"/>
  <bookViews>
    <workbookView xWindow="-108" yWindow="-108" windowWidth="23256" windowHeight="12456" activeTab="4" xr2:uid="{A7B315B1-E313-4AD3-A398-EA290ECB616E}"/>
  </bookViews>
  <sheets>
    <sheet name="Jogo 2" sheetId="7" r:id="rId1"/>
    <sheet name="Jogo 1" sheetId="4" r:id="rId2"/>
    <sheet name="Line up" sheetId="14" r:id="rId3"/>
    <sheet name="Média VGBB25" sheetId="2" r:id="rId4"/>
    <sheet name="MVP" sheetId="9" r:id="rId5"/>
    <sheet name="MIP Dados" sheetId="10" r:id="rId6"/>
    <sheet name="MIP" sheetId="11" r:id="rId7"/>
  </sheets>
  <definedNames>
    <definedName name="_xlcn.WorksheetConnection_DadosVGBB25.xlsxJogo_1" hidden="1">Jogo_1[]</definedName>
    <definedName name="_xlcn.WorksheetConnection_DadosVGBB25.xlsxJogo_2" hidden="1">Jogo_2[]</definedName>
    <definedName name="_xlcn.WorksheetConnection_DadosVGBB25.xlsxMédiaVGBB25" hidden="1">MédiaVGBB25[]</definedName>
    <definedName name="DadosExternos_1" localSheetId="3" hidden="1">'Média VGBB25'!$A$1:$AF$14</definedName>
    <definedName name="DadosExternos_2" localSheetId="1" hidden="1">'Jogo 1'!$A$1:$X$12</definedName>
    <definedName name="DadosExternos_3" localSheetId="0" hidden="1">'Jogo 2'!$A$1:$X$14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édiaVGBB25" name="MédiaVGBB25" connection="WorksheetConnection_Dados VGBB25.xlsx!MédiaVGBB25"/>
          <x15:modelTable id="Jogo_2" name="Jogo_2" connection="WorksheetConnection_Dados VGBB25.xlsx!Jogo_2"/>
          <x15:modelTable id="Jogo_1" name="Jogo_1" connection="WorksheetConnection_Dados VGBB25.xlsx!Jogo_1"/>
        </x15:modelTables>
        <x15:modelRelationships>
          <x15:modelRelationship fromTable="Jogo_2" fromColumn="Player" toTable="MédiaVGBB25" toColumn="Player"/>
          <x15:modelRelationship fromTable="Jogo_1" fromColumn="Player" toTable="MédiaVGBB25" toColumn="Play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2" l="1"/>
  <c r="AI4" i="2"/>
  <c r="AI5" i="2"/>
  <c r="AI6" i="2"/>
  <c r="AI7" i="2"/>
  <c r="AI8" i="2"/>
  <c r="AI9" i="2"/>
  <c r="AI10" i="2"/>
  <c r="AI11" i="2"/>
  <c r="AI12" i="2"/>
  <c r="AI13" i="2"/>
  <c r="AI14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2" i="2"/>
  <c r="B16" i="9"/>
  <c r="B15" i="9"/>
  <c r="B14" i="9"/>
  <c r="B13" i="9"/>
  <c r="P26" i="14"/>
  <c r="P18" i="14"/>
  <c r="P10" i="14"/>
  <c r="H26" i="14"/>
  <c r="H18" i="14"/>
  <c r="H10" i="14"/>
  <c r="AG3" i="2"/>
  <c r="AG4" i="2"/>
  <c r="AG5" i="2"/>
  <c r="AG6" i="2"/>
  <c r="AG7" i="2"/>
  <c r="AG8" i="2"/>
  <c r="AG9" i="2"/>
  <c r="AG10" i="2"/>
  <c r="AG11" i="2"/>
  <c r="AG12" i="2"/>
  <c r="AG13" i="2"/>
  <c r="AG14" i="2"/>
  <c r="AG2" i="2"/>
  <c r="AD3" i="2"/>
  <c r="AD4" i="2"/>
  <c r="AD5" i="2"/>
  <c r="AD6" i="2"/>
  <c r="AD7" i="2"/>
  <c r="AD8" i="2"/>
  <c r="AD9" i="2"/>
  <c r="AD10" i="2"/>
  <c r="AD11" i="2"/>
  <c r="AD12" i="2"/>
  <c r="AD13" i="2"/>
  <c r="AD14" i="2"/>
  <c r="AD2" i="2"/>
  <c r="X3" i="2"/>
  <c r="X4" i="2"/>
  <c r="X5" i="2"/>
  <c r="X6" i="2"/>
  <c r="X7" i="2"/>
  <c r="X8" i="2"/>
  <c r="X9" i="2"/>
  <c r="X10" i="2"/>
  <c r="X11" i="2"/>
  <c r="X12" i="2"/>
  <c r="X13" i="2"/>
  <c r="X14" i="2"/>
  <c r="X2" i="2"/>
  <c r="AJ3" i="2"/>
  <c r="AJ4" i="2"/>
  <c r="AJ5" i="2"/>
  <c r="AJ6" i="2"/>
  <c r="AJ7" i="2"/>
  <c r="AJ8" i="2"/>
  <c r="AJ9" i="2"/>
  <c r="AJ10" i="2"/>
  <c r="AJ11" i="2"/>
  <c r="AJ12" i="2"/>
  <c r="AJ13" i="2"/>
  <c r="AJ14" i="2"/>
  <c r="AJ2" i="2"/>
  <c r="B19" i="9"/>
  <c r="B18" i="9"/>
  <c r="B17" i="9"/>
  <c r="H8" i="10"/>
  <c r="H7" i="10"/>
  <c r="H6" i="10"/>
  <c r="H5" i="10"/>
  <c r="H4" i="10"/>
  <c r="H3" i="10"/>
  <c r="H2" i="10"/>
  <c r="G8" i="10"/>
  <c r="G7" i="10"/>
  <c r="G6" i="10"/>
  <c r="G5" i="10"/>
  <c r="G4" i="10"/>
  <c r="G3" i="10"/>
  <c r="G2" i="10"/>
  <c r="F8" i="10"/>
  <c r="F7" i="10"/>
  <c r="F6" i="10"/>
  <c r="F5" i="10"/>
  <c r="F4" i="10"/>
  <c r="F3" i="10"/>
  <c r="F2" i="10"/>
  <c r="E8" i="10"/>
  <c r="E7" i="10"/>
  <c r="E6" i="10"/>
  <c r="E5" i="10"/>
  <c r="E4" i="10"/>
  <c r="E3" i="10"/>
  <c r="E2" i="10"/>
  <c r="P3" i="7"/>
  <c r="P4" i="7"/>
  <c r="P5" i="7"/>
  <c r="P6" i="7"/>
  <c r="P7" i="7"/>
  <c r="P8" i="7"/>
  <c r="P9" i="7"/>
  <c r="P10" i="7"/>
  <c r="P11" i="7"/>
  <c r="P12" i="7"/>
  <c r="P13" i="7"/>
  <c r="P14" i="7"/>
  <c r="P2" i="7"/>
  <c r="M3" i="7"/>
  <c r="M4" i="7"/>
  <c r="M5" i="7"/>
  <c r="M6" i="7"/>
  <c r="M7" i="7"/>
  <c r="M8" i="7"/>
  <c r="M9" i="7"/>
  <c r="M10" i="7"/>
  <c r="M11" i="7"/>
  <c r="M12" i="7"/>
  <c r="M13" i="7"/>
  <c r="M14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2" i="7"/>
  <c r="G3" i="7"/>
  <c r="G4" i="7"/>
  <c r="G5" i="7"/>
  <c r="G6" i="7"/>
  <c r="G7" i="7"/>
  <c r="G8" i="7"/>
  <c r="G9" i="7"/>
  <c r="G10" i="7"/>
  <c r="G11" i="7"/>
  <c r="G12" i="7"/>
  <c r="G13" i="7"/>
  <c r="G14" i="7"/>
  <c r="G2" i="7"/>
  <c r="P3" i="4"/>
  <c r="P4" i="4"/>
  <c r="P5" i="4"/>
  <c r="P6" i="4"/>
  <c r="P7" i="4"/>
  <c r="P8" i="4"/>
  <c r="P9" i="4"/>
  <c r="P10" i="4"/>
  <c r="P11" i="4"/>
  <c r="P12" i="4"/>
  <c r="P2" i="4"/>
  <c r="M3" i="4"/>
  <c r="M4" i="4"/>
  <c r="M5" i="4"/>
  <c r="M6" i="4"/>
  <c r="M7" i="4"/>
  <c r="M8" i="4"/>
  <c r="M9" i="4"/>
  <c r="M10" i="4"/>
  <c r="M11" i="4"/>
  <c r="M12" i="4"/>
  <c r="M2" i="4"/>
  <c r="J3" i="4"/>
  <c r="J4" i="4"/>
  <c r="J5" i="4"/>
  <c r="J6" i="4"/>
  <c r="J7" i="4"/>
  <c r="J8" i="4"/>
  <c r="J9" i="4"/>
  <c r="J10" i="4"/>
  <c r="J11" i="4"/>
  <c r="J12" i="4"/>
  <c r="J2" i="4"/>
  <c r="G3" i="4"/>
  <c r="G4" i="4"/>
  <c r="G5" i="4"/>
  <c r="G6" i="4"/>
  <c r="G7" i="4"/>
  <c r="G8" i="4"/>
  <c r="G9" i="4"/>
  <c r="G10" i="4"/>
  <c r="G11" i="4"/>
  <c r="G12" i="4"/>
  <c r="G2" i="4"/>
  <c r="F3" i="2"/>
  <c r="D2" i="10" s="1"/>
  <c r="F4" i="2"/>
  <c r="F5" i="2"/>
  <c r="D3" i="10" s="1"/>
  <c r="F6" i="2"/>
  <c r="D4" i="10" s="1"/>
  <c r="F7" i="2"/>
  <c r="F8" i="2"/>
  <c r="F9" i="2"/>
  <c r="F10" i="2"/>
  <c r="D5" i="10" s="1"/>
  <c r="F11" i="2"/>
  <c r="D6" i="10" s="1"/>
  <c r="F12" i="2"/>
  <c r="F13" i="2"/>
  <c r="D8" i="10" s="1"/>
  <c r="F14" i="2"/>
  <c r="F2" i="2"/>
  <c r="V3" i="2"/>
  <c r="V4" i="2"/>
  <c r="V5" i="2"/>
  <c r="V6" i="2"/>
  <c r="V7" i="2"/>
  <c r="V8" i="2"/>
  <c r="V9" i="2"/>
  <c r="V10" i="2"/>
  <c r="V11" i="2"/>
  <c r="V12" i="2"/>
  <c r="V13" i="2"/>
  <c r="V14" i="2"/>
  <c r="V2" i="2"/>
  <c r="R3" i="2"/>
  <c r="R4" i="2"/>
  <c r="R5" i="2"/>
  <c r="R6" i="2"/>
  <c r="R7" i="2"/>
  <c r="R8" i="2"/>
  <c r="R9" i="2"/>
  <c r="R10" i="2"/>
  <c r="R11" i="2"/>
  <c r="R12" i="2"/>
  <c r="R13" i="2"/>
  <c r="R14" i="2"/>
  <c r="R2" i="2"/>
  <c r="N3" i="2"/>
  <c r="N4" i="2"/>
  <c r="N5" i="2"/>
  <c r="N6" i="2"/>
  <c r="N7" i="2"/>
  <c r="N8" i="2"/>
  <c r="N9" i="2"/>
  <c r="N10" i="2"/>
  <c r="N11" i="2"/>
  <c r="N12" i="2"/>
  <c r="N13" i="2"/>
  <c r="N14" i="2"/>
  <c r="N2" i="2"/>
  <c r="J3" i="2"/>
  <c r="J4" i="2"/>
  <c r="J5" i="2"/>
  <c r="J6" i="2"/>
  <c r="J7" i="2"/>
  <c r="J8" i="2"/>
  <c r="J9" i="2"/>
  <c r="J10" i="2"/>
  <c r="J11" i="2"/>
  <c r="J12" i="2"/>
  <c r="J13" i="2"/>
  <c r="J14" i="2"/>
  <c r="J2" i="2"/>
  <c r="I3" i="10" l="1"/>
  <c r="I4" i="10"/>
  <c r="I5" i="10"/>
  <c r="D7" i="10"/>
  <c r="I7" i="10" s="1"/>
  <c r="I8" i="10"/>
  <c r="I6" i="10"/>
  <c r="I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D22674-8F1A-43A9-A7E0-0C84ABB68B50}" keepAlive="1" name="Consulta - Table002 (Page 1)" description="Conexão com a consulta 'Table002 (Page 1)' na pasta de trabalho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CEC7A78A-637A-4D5B-A6E6-07822D84EF38}" keepAlive="1" name="Consulta - Table003 (Page 2)" description="Conexão com a consulta 'Table003 (Page 2)' na pasta de trabalho." type="5" refreshedVersion="8" background="1" saveData="1">
    <dbPr connection="Provider=Microsoft.Mashup.OleDb.1;Data Source=$Workbook$;Location=&quot;Table003 (Page 2)&quot;;Extended Properties=&quot;&quot;" command="SELECT * FROM [Table003 (Page 2)]"/>
  </connection>
  <connection id="3" xr16:uid="{FE5B1237-39E9-47DA-A660-FEC67D54C7DA}" keepAlive="1" name="Consulta - Table004 (Page 1)" description="Conexão com a consulta 'Table004 (Page 1)' na pasta de trabalho." type="5" refreshedVersion="8" background="1" saveData="1">
    <dbPr connection="Provider=Microsoft.Mashup.OleDb.1;Data Source=$Workbook$;Location=&quot;Table004 (Page 1)&quot;;Extended Properties=&quot;&quot;" command="SELECT * FROM [Table004 (Page 1)]"/>
  </connection>
  <connection id="4" xr16:uid="{64957437-1F78-4F08-A8BD-EB5AB0C48ED7}" keepAlive="1" name="Consulta - Table004 (Page 1) (2)" description="Conexão com a consulta 'Table004 (Page 1) (2)' na pasta de trabalho." type="5" refreshedVersion="8" background="1" saveData="1">
    <dbPr connection="Provider=Microsoft.Mashup.OleDb.1;Data Source=$Workbook$;Location=&quot;Table004 (Page 1) (2)&quot;;Extended Properties=&quot;&quot;" command="SELECT * FROM [Table004 (Page 1) (2)]"/>
  </connection>
  <connection id="5" xr16:uid="{8520B63F-A843-48AE-A28F-A3756A22CCF7}" keepAlive="1" name="Consulta - Table005 (Page 1)" description="Conexão com a consulta 'Table005 (Page 1)' na pasta de trabalho." type="5" refreshedVersion="0" background="1">
    <dbPr connection="Provider=Microsoft.Mashup.OleDb.1;Data Source=$Workbook$;Location=&quot;Table005 (Page 1)&quot;;Extended Properties=&quot;&quot;" command="SELECT * FROM [Table005 (Page 1)]"/>
  </connection>
  <connection id="6" xr16:uid="{9D6FD59F-3FB3-42C5-BE2B-12C3C7A8880B}" keepAlive="1" name="Consulta - Table005 (Page 1) (2)" description="Conexão com a consulta 'Table005 (Page 1) (2)' na pasta de trabalho." type="5" refreshedVersion="8" background="1" saveData="1">
    <dbPr connection="Provider=Microsoft.Mashup.OleDb.1;Data Source=$Workbook$;Location=&quot;Table005 (Page 1) (2)&quot;;Extended Properties=&quot;&quot;" command="SELECT * FROM [Table005 (Page 1) (2)]"/>
  </connection>
  <connection id="7" xr16:uid="{69740700-722F-4A1A-9D33-144D9D894927}" keepAlive="1" name="Consulta - Table006 (Page 1)" description="Conexão com a consulta 'Table006 (Page 1)' na pasta de trabalho." type="5" refreshedVersion="0" background="1">
    <dbPr connection="Provider=Microsoft.Mashup.OleDb.1;Data Source=$Workbook$;Location=&quot;Table006 (Page 1)&quot;;Extended Properties=&quot;&quot;" command="SELECT * FROM [Table006 (Page 1)]"/>
  </connection>
  <connection id="8" xr16:uid="{BB9AE4B3-8470-4077-988B-07C9DE02146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722404A9-99A5-4D9F-B48F-B2F973C93477}" name="WorksheetConnection_Dados VGBB25.xlsx!Jogo_1" type="102" refreshedVersion="8" minRefreshableVersion="5">
    <extLst>
      <ext xmlns:x15="http://schemas.microsoft.com/office/spreadsheetml/2010/11/main" uri="{DE250136-89BD-433C-8126-D09CA5730AF9}">
        <x15:connection id="Jogo_1">
          <x15:rangePr sourceName="_xlcn.WorksheetConnection_DadosVGBB25.xlsxJogo_1"/>
        </x15:connection>
      </ext>
    </extLst>
  </connection>
  <connection id="10" xr16:uid="{6C53316D-17E1-4F19-81F6-041A48E13A30}" name="WorksheetConnection_Dados VGBB25.xlsx!Jogo_2" type="102" refreshedVersion="8" minRefreshableVersion="5">
    <extLst>
      <ext xmlns:x15="http://schemas.microsoft.com/office/spreadsheetml/2010/11/main" uri="{DE250136-89BD-433C-8126-D09CA5730AF9}">
        <x15:connection id="Jogo_2">
          <x15:rangePr sourceName="_xlcn.WorksheetConnection_DadosVGBB25.xlsxJogo_2"/>
        </x15:connection>
      </ext>
    </extLst>
  </connection>
  <connection id="11" xr16:uid="{CED99F91-55DB-4913-934B-E6229EFC275A}" name="WorksheetConnection_Dados VGBB25.xlsx!MédiaVGBB25" type="102" refreshedVersion="8" minRefreshableVersion="5">
    <extLst>
      <ext xmlns:x15="http://schemas.microsoft.com/office/spreadsheetml/2010/11/main" uri="{DE250136-89BD-433C-8126-D09CA5730AF9}">
        <x15:connection id="MédiaVGBB25">
          <x15:rangePr sourceName="_xlcn.WorksheetConnection_DadosVGBB25.xlsxMédiaVGBB25"/>
        </x15:connection>
      </ext>
    </extLst>
  </connection>
</connections>
</file>

<file path=xl/sharedStrings.xml><?xml version="1.0" encoding="utf-8"?>
<sst xmlns="http://schemas.openxmlformats.org/spreadsheetml/2006/main" count="570" uniqueCount="175">
  <si>
    <t>Team</t>
  </si>
  <si>
    <t>Player</t>
  </si>
  <si>
    <t>No.</t>
  </si>
  <si>
    <t>GP</t>
  </si>
  <si>
    <t>PTS</t>
  </si>
  <si>
    <t>PPG</t>
  </si>
  <si>
    <t>FG/FGA</t>
  </si>
  <si>
    <t>FGA</t>
  </si>
  <si>
    <t>2P/2PA</t>
  </si>
  <si>
    <t>2PA</t>
  </si>
  <si>
    <t>3P/3PA</t>
  </si>
  <si>
    <t>3PA</t>
  </si>
  <si>
    <t>FT/FTA</t>
  </si>
  <si>
    <t>FTA</t>
  </si>
  <si>
    <t>REB</t>
  </si>
  <si>
    <t>OR</t>
  </si>
  <si>
    <t>DR</t>
  </si>
  <si>
    <t>AST</t>
  </si>
  <si>
    <t>STL</t>
  </si>
  <si>
    <t>TO</t>
  </si>
  <si>
    <t>EFF</t>
  </si>
  <si>
    <t>+ / -</t>
  </si>
  <si>
    <t>EAB</t>
  </si>
  <si>
    <t>Manu
Resende</t>
  </si>
  <si>
    <t>3</t>
  </si>
  <si>
    <t>2</t>
  </si>
  <si>
    <t>1/9</t>
  </si>
  <si>
    <t>9</t>
  </si>
  <si>
    <t>1/4</t>
  </si>
  <si>
    <t>4</t>
  </si>
  <si>
    <t>0/5</t>
  </si>
  <si>
    <t>5</t>
  </si>
  <si>
    <t>0/0</t>
  </si>
  <si>
    <t>0</t>
  </si>
  <si>
    <t>1</t>
  </si>
  <si>
    <t>-14</t>
  </si>
  <si>
    <t>-6</t>
  </si>
  <si>
    <t>Sofia</t>
  </si>
  <si>
    <t>0/11</t>
  </si>
  <si>
    <t>11</t>
  </si>
  <si>
    <t>0/9</t>
  </si>
  <si>
    <t>0/2</t>
  </si>
  <si>
    <t>12</t>
  </si>
  <si>
    <t>7</t>
  </si>
  <si>
    <t>-5</t>
  </si>
  <si>
    <t>-21</t>
  </si>
  <si>
    <t>Vittoria</t>
  </si>
  <si>
    <t>Jasmin</t>
  </si>
  <si>
    <t>23/89</t>
  </si>
  <si>
    <t>89</t>
  </si>
  <si>
    <t>23/79</t>
  </si>
  <si>
    <t>79</t>
  </si>
  <si>
    <t>0/10</t>
  </si>
  <si>
    <t>10</t>
  </si>
  <si>
    <t>4/11</t>
  </si>
  <si>
    <t>Laura</t>
  </si>
  <si>
    <t>8</t>
  </si>
  <si>
    <t>24/105</t>
  </si>
  <si>
    <t>105</t>
  </si>
  <si>
    <t>21/78</t>
  </si>
  <si>
    <t>78</t>
  </si>
  <si>
    <t>3/27</t>
  </si>
  <si>
    <t>27</t>
  </si>
  <si>
    <t>2/13</t>
  </si>
  <si>
    <t>13</t>
  </si>
  <si>
    <t>Giovanna</t>
  </si>
  <si>
    <t>Beatriz</t>
  </si>
  <si>
    <t>2/31</t>
  </si>
  <si>
    <t>31</t>
  </si>
  <si>
    <t>0/18</t>
  </si>
  <si>
    <t>18</t>
  </si>
  <si>
    <t>2/4</t>
  </si>
  <si>
    <t>Maria
Beatriz</t>
  </si>
  <si>
    <t>Isadora</t>
  </si>
  <si>
    <t>13/72</t>
  </si>
  <si>
    <t>72</t>
  </si>
  <si>
    <t>10/47</t>
  </si>
  <si>
    <t>47</t>
  </si>
  <si>
    <t>3/25</t>
  </si>
  <si>
    <t>25</t>
  </si>
  <si>
    <t>1/12</t>
  </si>
  <si>
    <t>Manuela</t>
  </si>
  <si>
    <t>16</t>
  </si>
  <si>
    <t>4/23</t>
  </si>
  <si>
    <t>23</t>
  </si>
  <si>
    <t>3/15</t>
  </si>
  <si>
    <t>15</t>
  </si>
  <si>
    <t>1/8</t>
  </si>
  <si>
    <t>4/10</t>
  </si>
  <si>
    <t>Tess</t>
  </si>
  <si>
    <t>17</t>
  </si>
  <si>
    <t>0/7</t>
  </si>
  <si>
    <t>0/6</t>
  </si>
  <si>
    <t>6</t>
  </si>
  <si>
    <t>0/1</t>
  </si>
  <si>
    <t>Rosa</t>
  </si>
  <si>
    <t>20</t>
  </si>
  <si>
    <t>2/20</t>
  </si>
  <si>
    <t>2/19</t>
  </si>
  <si>
    <t>19</t>
  </si>
  <si>
    <t>0/4</t>
  </si>
  <si>
    <t>Total</t>
  </si>
  <si>
    <t>--</t>
  </si>
  <si>
    <t>70/376</t>
  </si>
  <si>
    <t>376</t>
  </si>
  <si>
    <t>63/279</t>
  </si>
  <si>
    <t>279</t>
  </si>
  <si>
    <t>7/97</t>
  </si>
  <si>
    <t>97</t>
  </si>
  <si>
    <t>13/58</t>
  </si>
  <si>
    <t>58</t>
  </si>
  <si>
    <t>FGM</t>
  </si>
  <si>
    <t>FG%</t>
  </si>
  <si>
    <t>2PM</t>
  </si>
  <si>
    <t>2P%</t>
  </si>
  <si>
    <t>3PTM</t>
  </si>
  <si>
    <t>3P%</t>
  </si>
  <si>
    <t>FTM</t>
  </si>
  <si>
    <t>FT%</t>
  </si>
  <si>
    <t>FG</t>
  </si>
  <si>
    <t>2P</t>
  </si>
  <si>
    <t>3P</t>
  </si>
  <si>
    <t>FT</t>
  </si>
  <si>
    <t>Colegio
Militar</t>
  </si>
  <si>
    <t>14</t>
  </si>
  <si>
    <t>57</t>
  </si>
  <si>
    <t>37</t>
  </si>
  <si>
    <t>94</t>
  </si>
  <si>
    <t>Policia
Militar</t>
  </si>
  <si>
    <t>Rótulos de Linha</t>
  </si>
  <si>
    <t>Total Geral</t>
  </si>
  <si>
    <t>(Vários itens)</t>
  </si>
  <si>
    <t>AST/TO</t>
  </si>
  <si>
    <t>ΔREB</t>
  </si>
  <si>
    <t>ΔEFF</t>
  </si>
  <si>
    <t>Pontuação MIP</t>
  </si>
  <si>
    <t>Soma de ΔPPG</t>
  </si>
  <si>
    <t>Soma de ΔREB</t>
  </si>
  <si>
    <t>Soma de Pontuação MIP</t>
  </si>
  <si>
    <t>Soma de AST/TO</t>
  </si>
  <si>
    <t>Soma de ΔEFF</t>
  </si>
  <si>
    <t>Soma de Δ+ / -</t>
  </si>
  <si>
    <t>Soma de PPG</t>
  </si>
  <si>
    <t>TS%</t>
  </si>
  <si>
    <t>ORTG</t>
  </si>
  <si>
    <t>Pontuação MVP</t>
  </si>
  <si>
    <t>Média de TS%</t>
  </si>
  <si>
    <t>PTS/POSS</t>
  </si>
  <si>
    <t>Soma de PTS/POSS</t>
  </si>
  <si>
    <t>Line up 1</t>
  </si>
  <si>
    <t>Line up 2</t>
  </si>
  <si>
    <t>Line up 3</t>
  </si>
  <si>
    <t>Line up 4</t>
  </si>
  <si>
    <t>Line up 5</t>
  </si>
  <si>
    <t>Line up 6</t>
  </si>
  <si>
    <t>AVG.REB</t>
  </si>
  <si>
    <t>AVG.TO</t>
  </si>
  <si>
    <t>Soma de AVG.TO</t>
  </si>
  <si>
    <t>Soma de AVG.REB</t>
  </si>
  <si>
    <t>ΔPlus/Minus</t>
  </si>
  <si>
    <t>AVG. Plus/minus</t>
  </si>
  <si>
    <t xml:space="preserve"> PPG</t>
  </si>
  <si>
    <t xml:space="preserve"> PTS/POSS</t>
  </si>
  <si>
    <t xml:space="preserve"> AVG.TO</t>
  </si>
  <si>
    <t xml:space="preserve"> AVG. +/-</t>
  </si>
  <si>
    <t>Jasmin, Isadora, Beatriz, Manuela, Rosa</t>
  </si>
  <si>
    <t>Beatriz, Isadora, Jasmin, Laura, Manuela</t>
  </si>
  <si>
    <t>Isadora, Jasmin, Laura, Manuela, Rosa</t>
  </si>
  <si>
    <t>Beatriz, Jasmin, Laura, Manuela, Sofia</t>
  </si>
  <si>
    <t>Isadora, Jasmin, Manu R, Manuela, Sofia</t>
  </si>
  <si>
    <t>Jasmin, Laura, Manuela, Rosa, Tess</t>
  </si>
  <si>
    <t xml:space="preserve"> EFF</t>
  </si>
  <si>
    <t xml:space="preserve"> ASS/TO</t>
  </si>
  <si>
    <t xml:space="preserve"> TS%(x100)</t>
  </si>
  <si>
    <t xml:space="preserve"> ORTG(x100)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</si>
</sst>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9" fontId="0" fillId="0" borderId="0" xfId="1" applyFont="1"/>
    <xf numFmtId="0" fontId="0" fillId="3" borderId="1" xfId="0" applyFill="1" applyBorder="1"/>
    <xf numFmtId="0" fontId="0" fillId="0" borderId="1" xfId="0" applyBorder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2" xfId="0" applyFont="1" applyFill="1" applyBorder="1"/>
    <xf numFmtId="0" fontId="3" fillId="2" borderId="3" xfId="0" applyFont="1" applyFill="1" applyBorder="1"/>
    <xf numFmtId="0" fontId="4" fillId="4" borderId="6" xfId="0" applyFont="1" applyFill="1" applyBorder="1"/>
    <xf numFmtId="0" fontId="3" fillId="2" borderId="1" xfId="0" applyFont="1" applyFill="1" applyBorder="1"/>
    <xf numFmtId="0" fontId="3" fillId="2" borderId="5" xfId="0" applyFont="1" applyFill="1" applyBorder="1"/>
    <xf numFmtId="0" fontId="0" fillId="5" borderId="0" xfId="0" applyFill="1" applyAlignment="1">
      <alignment horizontal="left"/>
    </xf>
    <xf numFmtId="2" fontId="0" fillId="5" borderId="0" xfId="0" applyNumberFormat="1" applyFill="1"/>
    <xf numFmtId="0" fontId="0" fillId="0" borderId="4" xfId="0" applyBorder="1"/>
    <xf numFmtId="9" fontId="0" fillId="0" borderId="0" xfId="0" applyNumberFormat="1"/>
    <xf numFmtId="2" fontId="0" fillId="0" borderId="4" xfId="0" applyNumberFormat="1" applyBorder="1"/>
    <xf numFmtId="164" fontId="4" fillId="6" borderId="7" xfId="0" applyNumberFormat="1" applyFont="1" applyFill="1" applyBorder="1"/>
    <xf numFmtId="9" fontId="4" fillId="6" borderId="7" xfId="0" applyNumberFormat="1" applyFont="1" applyFill="1" applyBorder="1"/>
    <xf numFmtId="2" fontId="4" fillId="6" borderId="7" xfId="0" applyNumberFormat="1" applyFont="1" applyFill="1" applyBorder="1"/>
    <xf numFmtId="0" fontId="0" fillId="0" borderId="8" xfId="0" applyBorder="1"/>
    <xf numFmtId="0" fontId="0" fillId="6" borderId="11" xfId="0" applyFill="1" applyBorder="1"/>
    <xf numFmtId="164" fontId="4" fillId="6" borderId="12" xfId="0" applyNumberFormat="1" applyFont="1" applyFill="1" applyBorder="1"/>
    <xf numFmtId="0" fontId="0" fillId="0" borderId="11" xfId="0" applyBorder="1"/>
    <xf numFmtId="164" fontId="4" fillId="6" borderId="9" xfId="0" applyNumberFormat="1" applyFont="1" applyFill="1" applyBorder="1"/>
    <xf numFmtId="9" fontId="4" fillId="6" borderId="9" xfId="0" applyNumberFormat="1" applyFont="1" applyFill="1" applyBorder="1"/>
    <xf numFmtId="2" fontId="4" fillId="6" borderId="9" xfId="0" applyNumberFormat="1" applyFont="1" applyFill="1" applyBorder="1"/>
    <xf numFmtId="164" fontId="4" fillId="6" borderId="10" xfId="0" applyNumberFormat="1" applyFont="1" applyFill="1" applyBorder="1"/>
    <xf numFmtId="0" fontId="0" fillId="6" borderId="7" xfId="0" applyFill="1" applyBorder="1"/>
    <xf numFmtId="0" fontId="3" fillId="6" borderId="0" xfId="0" applyFont="1" applyFill="1"/>
    <xf numFmtId="0" fontId="0" fillId="0" borderId="13" xfId="0" applyBorder="1"/>
    <xf numFmtId="164" fontId="4" fillId="6" borderId="0" xfId="0" applyNumberFormat="1" applyFont="1" applyFill="1"/>
    <xf numFmtId="9" fontId="4" fillId="6" borderId="0" xfId="0" applyNumberFormat="1" applyFont="1" applyFill="1"/>
    <xf numFmtId="2" fontId="4" fillId="6" borderId="0" xfId="0" applyNumberFormat="1" applyFont="1" applyFill="1"/>
    <xf numFmtId="164" fontId="4" fillId="6" borderId="14" xfId="0" applyNumberFormat="1" applyFont="1" applyFill="1" applyBorder="1"/>
    <xf numFmtId="0" fontId="0" fillId="0" borderId="7" xfId="0" applyBorder="1"/>
    <xf numFmtId="2" fontId="3" fillId="6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orcentagem" xfId="1" builtinId="5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Lineup</a:t>
            </a:r>
            <a:r>
              <a:rPr lang="en-US" baseline="0"/>
              <a:t> 1</a:t>
            </a:r>
            <a:endParaRPr lang="en-US"/>
          </a:p>
          <a:p>
            <a:pPr>
              <a:defRPr/>
            </a:pPr>
            <a:r>
              <a:rPr lang="en-US"/>
              <a:t>Jasmin, Isadora, Beatriz, Manuela, Rosa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'Line up'!$R$4</c:f>
              <c:strCache>
                <c:ptCount val="1"/>
                <c:pt idx="0">
                  <c:v>Jasmin, Isadora, Beatriz, Manuela, Rosa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'Line up'!$S$3:$X$3</c:f>
              <c:strCache>
                <c:ptCount val="6"/>
                <c:pt idx="0">
                  <c:v> PPG</c:v>
                </c:pt>
                <c:pt idx="1">
                  <c:v>TS%</c:v>
                </c:pt>
                <c:pt idx="2">
                  <c:v> PTS/POSS</c:v>
                </c:pt>
                <c:pt idx="3">
                  <c:v>AVG.REB</c:v>
                </c:pt>
                <c:pt idx="4">
                  <c:v> AVG.TO</c:v>
                </c:pt>
                <c:pt idx="5">
                  <c:v> AVG. +/-</c:v>
                </c:pt>
              </c:strCache>
            </c:strRef>
          </c:cat>
          <c:val>
            <c:numRef>
              <c:f>'Line up'!$S$4:$X$4</c:f>
              <c:numCache>
                <c:formatCode>0.00</c:formatCode>
                <c:ptCount val="6"/>
                <c:pt idx="0" formatCode="0.0">
                  <c:v>13.005555555555556</c:v>
                </c:pt>
                <c:pt idx="1">
                  <c:v>12</c:v>
                </c:pt>
                <c:pt idx="2">
                  <c:v>1.1146544126951756</c:v>
                </c:pt>
                <c:pt idx="3" formatCode="0.0">
                  <c:v>20.194444444444443</c:v>
                </c:pt>
                <c:pt idx="4" formatCode="0.0">
                  <c:v>29.736111111111107</c:v>
                </c:pt>
                <c:pt idx="5" formatCode="0.0">
                  <c:v>-8.0083333333333329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B-4F93-BC7A-401A36AFF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85376"/>
        <c:axId val="43083936"/>
      </c:radarChart>
      <c:catAx>
        <c:axId val="4308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83936"/>
        <c:crosses val="autoZero"/>
        <c:auto val="1"/>
        <c:lblAlgn val="ctr"/>
        <c:lblOffset val="100"/>
        <c:noMultiLvlLbl val="0"/>
      </c:catAx>
      <c:valAx>
        <c:axId val="430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8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Lineup 2</a:t>
            </a:r>
          </a:p>
          <a:p>
            <a:pPr>
              <a:defRPr/>
            </a:pPr>
            <a:r>
              <a:rPr lang="en-US"/>
              <a:t>Beatriz, Isadora, Jasmin, Laura, Manuela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'Line up'!$R$12</c:f>
              <c:strCache>
                <c:ptCount val="1"/>
                <c:pt idx="0">
                  <c:v>Beatriz, Isadora, Jasmin, Laura, Manuela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'Line up'!$S$11:$X$11</c:f>
              <c:strCache>
                <c:ptCount val="6"/>
                <c:pt idx="0">
                  <c:v> PPG</c:v>
                </c:pt>
                <c:pt idx="1">
                  <c:v>TS%</c:v>
                </c:pt>
                <c:pt idx="2">
                  <c:v> PTS/POSS</c:v>
                </c:pt>
                <c:pt idx="3">
                  <c:v>AVG.REB</c:v>
                </c:pt>
                <c:pt idx="4">
                  <c:v> AVG.TO</c:v>
                </c:pt>
                <c:pt idx="5">
                  <c:v> AVG. +/-</c:v>
                </c:pt>
              </c:strCache>
            </c:strRef>
          </c:cat>
          <c:val>
            <c:numRef>
              <c:f>'Line up'!$S$12:$X$12</c:f>
              <c:numCache>
                <c:formatCode>0.00</c:formatCode>
                <c:ptCount val="6"/>
                <c:pt idx="0" formatCode="0.0">
                  <c:v>18.494444444444444</c:v>
                </c:pt>
                <c:pt idx="1">
                  <c:v>19</c:v>
                </c:pt>
                <c:pt idx="2">
                  <c:v>1.2220795852674013</c:v>
                </c:pt>
                <c:pt idx="3" formatCode="0.0">
                  <c:v>25.016666666666666</c:v>
                </c:pt>
                <c:pt idx="4" formatCode="0.0">
                  <c:v>34.780555555555559</c:v>
                </c:pt>
                <c:pt idx="5" formatCode="0.0">
                  <c:v>-8.2727777777777778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4-4128-879F-FB371D34C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24288"/>
        <c:axId val="45123808"/>
      </c:radarChart>
      <c:catAx>
        <c:axId val="4512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23808"/>
        <c:crosses val="autoZero"/>
        <c:auto val="1"/>
        <c:lblAlgn val="ctr"/>
        <c:lblOffset val="100"/>
        <c:noMultiLvlLbl val="0"/>
      </c:catAx>
      <c:valAx>
        <c:axId val="451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Lineup 3</a:t>
            </a:r>
          </a:p>
          <a:p>
            <a:pPr>
              <a:defRPr/>
            </a:pPr>
            <a:r>
              <a:rPr lang="en-US"/>
              <a:t>Isadora, Jasmin, Laura, Manuela, Rosa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'Line up'!$R$14</c:f>
              <c:strCache>
                <c:ptCount val="1"/>
                <c:pt idx="0">
                  <c:v>Isadora, Jasmin, Laura, Manuela, Rosa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'Line up'!$S$13:$X$13</c:f>
              <c:strCache>
                <c:ptCount val="6"/>
                <c:pt idx="0">
                  <c:v> PPG</c:v>
                </c:pt>
                <c:pt idx="1">
                  <c:v>TS%</c:v>
                </c:pt>
                <c:pt idx="2">
                  <c:v> PTS/POSS</c:v>
                </c:pt>
                <c:pt idx="3">
                  <c:v>AVG.REB</c:v>
                </c:pt>
                <c:pt idx="4">
                  <c:v> AVG.TO</c:v>
                </c:pt>
                <c:pt idx="5">
                  <c:v> AVG. +/-</c:v>
                </c:pt>
              </c:strCache>
            </c:strRef>
          </c:cat>
          <c:val>
            <c:numRef>
              <c:f>'Line up'!$S$14:$X$14</c:f>
              <c:numCache>
                <c:formatCode>0.00</c:formatCode>
                <c:ptCount val="6"/>
                <c:pt idx="0" formatCode="0.0">
                  <c:v>16.894444444444442</c:v>
                </c:pt>
                <c:pt idx="1">
                  <c:v>17</c:v>
                </c:pt>
                <c:pt idx="2">
                  <c:v>1.355307913731338</c:v>
                </c:pt>
                <c:pt idx="3" formatCode="0.0">
                  <c:v>26.083333333333336</c:v>
                </c:pt>
                <c:pt idx="4" formatCode="0.0">
                  <c:v>30.180555555555557</c:v>
                </c:pt>
                <c:pt idx="5" formatCode="0.0">
                  <c:v>-7.4527777777777775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C-4604-AFEB-821382E9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73920"/>
        <c:axId val="45270560"/>
      </c:radarChart>
      <c:catAx>
        <c:axId val="4527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70560"/>
        <c:crosses val="autoZero"/>
        <c:auto val="1"/>
        <c:lblAlgn val="ctr"/>
        <c:lblOffset val="100"/>
        <c:noMultiLvlLbl val="0"/>
      </c:catAx>
      <c:valAx>
        <c:axId val="452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7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Lineup</a:t>
            </a:r>
            <a:r>
              <a:rPr lang="en-US" baseline="0"/>
              <a:t> 4</a:t>
            </a:r>
            <a:endParaRPr lang="en-US"/>
          </a:p>
          <a:p>
            <a:pPr>
              <a:defRPr/>
            </a:pPr>
            <a:r>
              <a:rPr lang="en-US"/>
              <a:t>Beatriz, Jasmin, Laura, Manuela, Sofia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'Line up'!$R$16</c:f>
              <c:strCache>
                <c:ptCount val="1"/>
                <c:pt idx="0">
                  <c:v>Beatriz, Jasmin, Laura, Manuela, Sofia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'Line up'!$S$15:$X$15</c:f>
              <c:strCache>
                <c:ptCount val="6"/>
                <c:pt idx="0">
                  <c:v> PPG</c:v>
                </c:pt>
                <c:pt idx="1">
                  <c:v>TS%</c:v>
                </c:pt>
                <c:pt idx="2">
                  <c:v> PTS/POSS</c:v>
                </c:pt>
                <c:pt idx="3">
                  <c:v>AVG.REB</c:v>
                </c:pt>
                <c:pt idx="4">
                  <c:v> AVG.TO</c:v>
                </c:pt>
                <c:pt idx="5">
                  <c:v> AVG. +/-</c:v>
                </c:pt>
              </c:strCache>
            </c:strRef>
          </c:cat>
          <c:val>
            <c:numRef>
              <c:f>'Line up'!$S$16:$X$16</c:f>
              <c:numCache>
                <c:formatCode>0.00</c:formatCode>
                <c:ptCount val="6"/>
                <c:pt idx="0" formatCode="0.0">
                  <c:v>14.744444444444445</c:v>
                </c:pt>
                <c:pt idx="1">
                  <c:v>16</c:v>
                </c:pt>
                <c:pt idx="2">
                  <c:v>0.97873111025117798</c:v>
                </c:pt>
                <c:pt idx="3" formatCode="0.0">
                  <c:v>22.099999999999998</c:v>
                </c:pt>
                <c:pt idx="4" formatCode="0.0">
                  <c:v>28.37777777777778</c:v>
                </c:pt>
                <c:pt idx="5" formatCode="0.0">
                  <c:v>-7.3644444444444446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D-4195-A79B-4E3CD0AED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3600"/>
        <c:axId val="44556480"/>
      </c:radarChart>
      <c:catAx>
        <c:axId val="4455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56480"/>
        <c:crosses val="autoZero"/>
        <c:auto val="1"/>
        <c:lblAlgn val="ctr"/>
        <c:lblOffset val="100"/>
        <c:noMultiLvlLbl val="0"/>
      </c:catAx>
      <c:valAx>
        <c:axId val="445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Lineup</a:t>
            </a:r>
            <a:r>
              <a:rPr lang="en-US" baseline="0"/>
              <a:t> 5</a:t>
            </a:r>
            <a:endParaRPr lang="en-US"/>
          </a:p>
          <a:p>
            <a:pPr>
              <a:defRPr/>
            </a:pPr>
            <a:r>
              <a:rPr lang="en-US"/>
              <a:t>Isadora, Jasmin, Manu R, Manuela, Sofia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'Line up'!$R$18</c:f>
              <c:strCache>
                <c:ptCount val="1"/>
                <c:pt idx="0">
                  <c:v>Isadora, Jasmin, Manu R, Manuela, Sofia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'Line up'!$S$17:$X$17</c:f>
              <c:strCache>
                <c:ptCount val="6"/>
                <c:pt idx="0">
                  <c:v> PPG</c:v>
                </c:pt>
                <c:pt idx="1">
                  <c:v>TS%</c:v>
                </c:pt>
                <c:pt idx="2">
                  <c:v> PTS/POSS</c:v>
                </c:pt>
                <c:pt idx="3">
                  <c:v>AVG.REB</c:v>
                </c:pt>
                <c:pt idx="4">
                  <c:v> AVG.TO</c:v>
                </c:pt>
                <c:pt idx="5">
                  <c:v> AVG. +/-</c:v>
                </c:pt>
              </c:strCache>
            </c:strRef>
          </c:cat>
          <c:val>
            <c:numRef>
              <c:f>'Line up'!$S$18:$X$18</c:f>
              <c:numCache>
                <c:formatCode>0.00</c:formatCode>
                <c:ptCount val="6"/>
                <c:pt idx="0" formatCode="0.0">
                  <c:v>11.605555555555556</c:v>
                </c:pt>
                <c:pt idx="1">
                  <c:v>10</c:v>
                </c:pt>
                <c:pt idx="2">
                  <c:v>0.85791558678467195</c:v>
                </c:pt>
                <c:pt idx="3" formatCode="0.0">
                  <c:v>14.794444444444444</c:v>
                </c:pt>
                <c:pt idx="4" formatCode="0.0">
                  <c:v>28.05833333333333</c:v>
                </c:pt>
                <c:pt idx="5" formatCode="0.0">
                  <c:v>-4.6949999999999994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C-4A66-B51E-CF1E820B5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73376"/>
        <c:axId val="50473856"/>
      </c:radarChart>
      <c:catAx>
        <c:axId val="504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73856"/>
        <c:crosses val="autoZero"/>
        <c:auto val="1"/>
        <c:lblAlgn val="ctr"/>
        <c:lblOffset val="100"/>
        <c:noMultiLvlLbl val="0"/>
      </c:catAx>
      <c:valAx>
        <c:axId val="504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7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Lineup 6</a:t>
            </a:r>
          </a:p>
          <a:p>
            <a:pPr>
              <a:defRPr/>
            </a:pPr>
            <a:r>
              <a:rPr lang="en-US"/>
              <a:t>Jasmin, Laura, Manuela, Rosa, Tess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'Line up'!$R$20</c:f>
              <c:strCache>
                <c:ptCount val="1"/>
                <c:pt idx="0">
                  <c:v>Jasmin, Laura, Manuela, Rosa, Tess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'Line up'!$S$19:$X$19</c:f>
              <c:strCache>
                <c:ptCount val="6"/>
                <c:pt idx="0">
                  <c:v> PPG</c:v>
                </c:pt>
                <c:pt idx="1">
                  <c:v>TS%</c:v>
                </c:pt>
                <c:pt idx="2">
                  <c:v> PTS/POSS</c:v>
                </c:pt>
                <c:pt idx="3">
                  <c:v>AVG.REB</c:v>
                </c:pt>
                <c:pt idx="4">
                  <c:v> AVG.TO</c:v>
                </c:pt>
                <c:pt idx="5">
                  <c:v> AVG. +/-</c:v>
                </c:pt>
              </c:strCache>
            </c:strRef>
          </c:cat>
          <c:val>
            <c:numRef>
              <c:f>'Line up'!$S$20:$X$20</c:f>
              <c:numCache>
                <c:formatCode>0.00</c:formatCode>
                <c:ptCount val="6"/>
                <c:pt idx="0" formatCode="0.0">
                  <c:v>13.144444444444446</c:v>
                </c:pt>
                <c:pt idx="1">
                  <c:v>13</c:v>
                </c:pt>
                <c:pt idx="2">
                  <c:v>1.1119594387151146</c:v>
                </c:pt>
                <c:pt idx="3" formatCode="0.0">
                  <c:v>22.944444444444446</c:v>
                </c:pt>
                <c:pt idx="4" formatCode="0.0">
                  <c:v>24.777777777777775</c:v>
                </c:pt>
                <c:pt idx="5" formatCode="0.0">
                  <c:v>-7.1222222222222218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8-4415-BEAE-92D932180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17360"/>
        <c:axId val="50414000"/>
      </c:radarChart>
      <c:catAx>
        <c:axId val="5041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14000"/>
        <c:crosses val="autoZero"/>
        <c:auto val="1"/>
        <c:lblAlgn val="ctr"/>
        <c:lblOffset val="100"/>
        <c:noMultiLvlLbl val="0"/>
      </c:catAx>
      <c:valAx>
        <c:axId val="504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1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VGBB25.xlsx]MVP!Métricas MVP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MVP!$B$3</c:f>
              <c:strCache>
                <c:ptCount val="1"/>
                <c:pt idx="0">
                  <c:v> PPG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MVP!$B$4:$B$6</c:f>
              <c:numCache>
                <c:formatCode>0.0</c:formatCode>
                <c:ptCount val="3"/>
                <c:pt idx="0">
                  <c:v>5.5555555555555554</c:v>
                </c:pt>
                <c:pt idx="1">
                  <c:v>5.8888888888888893</c:v>
                </c:pt>
                <c:pt idx="2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8-46F9-BD25-C48EB319C63B}"/>
            </c:ext>
          </c:extLst>
        </c:ser>
        <c:ser>
          <c:idx val="1"/>
          <c:order val="1"/>
          <c:tx>
            <c:strRef>
              <c:f>MVP!$C$3</c:f>
              <c:strCache>
                <c:ptCount val="1"/>
                <c:pt idx="0">
                  <c:v> EFF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MVP!$C$4:$C$6</c:f>
              <c:numCache>
                <c:formatCode>General</c:formatCode>
                <c:ptCount val="3"/>
                <c:pt idx="0">
                  <c:v>19</c:v>
                </c:pt>
                <c:pt idx="1">
                  <c:v>12</c:v>
                </c:pt>
                <c:pt idx="2">
                  <c:v>-53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8-46F9-BD25-C48EB319C63B}"/>
            </c:ext>
          </c:extLst>
        </c:ser>
        <c:ser>
          <c:idx val="2"/>
          <c:order val="2"/>
          <c:tx>
            <c:strRef>
              <c:f>MVP!$D$3</c:f>
              <c:strCache>
                <c:ptCount val="1"/>
                <c:pt idx="0">
                  <c:v> ASS/TO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MVP!$D$4:$D$6</c:f>
              <c:numCache>
                <c:formatCode>0.00</c:formatCode>
                <c:ptCount val="3"/>
                <c:pt idx="0">
                  <c:v>0.18181818181818182</c:v>
                </c:pt>
                <c:pt idx="1">
                  <c:v>0.10344827586206896</c:v>
                </c:pt>
                <c:pt idx="2">
                  <c:v>0.18032786885245902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8-46F9-BD25-C48EB319C63B}"/>
            </c:ext>
          </c:extLst>
        </c:ser>
        <c:ser>
          <c:idx val="3"/>
          <c:order val="3"/>
          <c:tx>
            <c:strRef>
              <c:f>MVP!$E$3</c:f>
              <c:strCache>
                <c:ptCount val="1"/>
                <c:pt idx="0">
                  <c:v> TS%(x100)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MVP!$E$4:$E$6</c:f>
              <c:numCache>
                <c:formatCode>0.00</c:formatCode>
                <c:ptCount val="3"/>
                <c:pt idx="0">
                  <c:v>28.962962962962965</c:v>
                </c:pt>
                <c:pt idx="1">
                  <c:v>36.223209876543208</c:v>
                </c:pt>
                <c:pt idx="2">
                  <c:v>18.112500000000001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A8-46F9-BD25-C48EB319C63B}"/>
            </c:ext>
          </c:extLst>
        </c:ser>
        <c:ser>
          <c:idx val="4"/>
          <c:order val="4"/>
          <c:tx>
            <c:strRef>
              <c:f>MVP!$F$3</c:f>
              <c:strCache>
                <c:ptCount val="1"/>
                <c:pt idx="0">
                  <c:v> ORTG(x100)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MVP!$F$4:$F$6</c:f>
              <c:numCache>
                <c:formatCode>0.00</c:formatCode>
                <c:ptCount val="3"/>
                <c:pt idx="0">
                  <c:v>44.829647340107584</c:v>
                </c:pt>
                <c:pt idx="1">
                  <c:v>40.894220283533258</c:v>
                </c:pt>
                <c:pt idx="2">
                  <c:v>32.801346528228429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A8-46F9-BD25-C48EB319C63B}"/>
            </c:ext>
          </c:extLst>
        </c:ser>
        <c:ser>
          <c:idx val="5"/>
          <c:order val="5"/>
          <c:tx>
            <c:strRef>
              <c:f>MVP!$G$3</c:f>
              <c:strCache>
                <c:ptCount val="1"/>
                <c:pt idx="0">
                  <c:v> AVG. +/-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MVP!$G$4:$G$6</c:f>
              <c:numCache>
                <c:formatCode>0.0</c:formatCode>
                <c:ptCount val="3"/>
                <c:pt idx="0">
                  <c:v>-6.666666666666667</c:v>
                </c:pt>
                <c:pt idx="1">
                  <c:v>-10.222222222222221</c:v>
                </c:pt>
                <c:pt idx="2">
                  <c:v>-6.875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A8-46F9-BD25-C48EB319C63B}"/>
            </c:ext>
          </c:extLst>
        </c:ser>
        <c:ser>
          <c:idx val="6"/>
          <c:order val="6"/>
          <c:tx>
            <c:strRef>
              <c:f>MVP!$H$3</c:f>
              <c:strCache>
                <c:ptCount val="1"/>
                <c:pt idx="0">
                  <c:v>Soma de AVG.REB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MVP!$A$4:$A$6</c:f>
              <c:strCache>
                <c:ptCount val="3"/>
                <c:pt idx="0">
                  <c:v>Jasmin</c:v>
                </c:pt>
                <c:pt idx="1">
                  <c:v>Laura</c:v>
                </c:pt>
                <c:pt idx="2">
                  <c:v>Isadora</c:v>
                </c:pt>
              </c:strCache>
            </c:strRef>
          </c:cat>
          <c:val>
            <c:numRef>
              <c:f>MVP!$H$4:$H$6</c:f>
              <c:numCache>
                <c:formatCode>0.0</c:formatCode>
                <c:ptCount val="3"/>
                <c:pt idx="0">
                  <c:v>5.1111111111111107</c:v>
                </c:pt>
                <c:pt idx="1">
                  <c:v>9.2222222222222214</c:v>
                </c:pt>
                <c:pt idx="2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A8-46F9-BD25-C48EB319C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7791088"/>
        <c:axId val="57786288"/>
      </c:barChart>
      <c:catAx>
        <c:axId val="57791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86288"/>
        <c:crosses val="autoZero"/>
        <c:auto val="1"/>
        <c:lblAlgn val="ctr"/>
        <c:lblOffset val="100"/>
        <c:noMultiLvlLbl val="0"/>
      </c:catAx>
      <c:valAx>
        <c:axId val="57786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VGBB25.xlsx]MIP!Categorias MIP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MIP!$B$3</c:f>
              <c:strCache>
                <c:ptCount val="1"/>
                <c:pt idx="0">
                  <c:v>Soma de ΔPPG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MIP!$A$4:$A$10</c:f>
              <c:strCache>
                <c:ptCount val="7"/>
                <c:pt idx="0">
                  <c:v>Manuela</c:v>
                </c:pt>
                <c:pt idx="1">
                  <c:v>Isadora</c:v>
                </c:pt>
                <c:pt idx="2">
                  <c:v>Laura</c:v>
                </c:pt>
                <c:pt idx="3">
                  <c:v>Tess</c:v>
                </c:pt>
                <c:pt idx="4">
                  <c:v>Jasmin</c:v>
                </c:pt>
                <c:pt idx="5">
                  <c:v>Sofia</c:v>
                </c:pt>
                <c:pt idx="6">
                  <c:v>Rosa</c:v>
                </c:pt>
              </c:strCache>
            </c:strRef>
          </c:cat>
          <c:val>
            <c:numRef>
              <c:f>MIP!$B$4:$B$10</c:f>
              <c:numCache>
                <c:formatCode>0.00</c:formatCode>
                <c:ptCount val="7"/>
                <c:pt idx="0">
                  <c:v>1.3</c:v>
                </c:pt>
                <c:pt idx="1">
                  <c:v>0.75</c:v>
                </c:pt>
                <c:pt idx="2">
                  <c:v>3.8888888888888893</c:v>
                </c:pt>
                <c:pt idx="3">
                  <c:v>0</c:v>
                </c:pt>
                <c:pt idx="4">
                  <c:v>-2.4444444444444446</c:v>
                </c:pt>
                <c:pt idx="5">
                  <c:v>0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D-48F7-8FF6-D4845162AE49}"/>
            </c:ext>
          </c:extLst>
        </c:ser>
        <c:ser>
          <c:idx val="1"/>
          <c:order val="1"/>
          <c:tx>
            <c:strRef>
              <c:f>MIP!$C$3</c:f>
              <c:strCache>
                <c:ptCount val="1"/>
                <c:pt idx="0">
                  <c:v>Soma de ΔREB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MIP!$A$4:$A$10</c:f>
              <c:strCache>
                <c:ptCount val="7"/>
                <c:pt idx="0">
                  <c:v>Manuela</c:v>
                </c:pt>
                <c:pt idx="1">
                  <c:v>Isadora</c:v>
                </c:pt>
                <c:pt idx="2">
                  <c:v>Laura</c:v>
                </c:pt>
                <c:pt idx="3">
                  <c:v>Tess</c:v>
                </c:pt>
                <c:pt idx="4">
                  <c:v>Jasmin</c:v>
                </c:pt>
                <c:pt idx="5">
                  <c:v>Sofia</c:v>
                </c:pt>
                <c:pt idx="6">
                  <c:v>Rosa</c:v>
                </c:pt>
              </c:strCache>
            </c:strRef>
          </c:cat>
          <c:val>
            <c:numRef>
              <c:f>MIP!$C$4:$C$10</c:f>
              <c:numCache>
                <c:formatCode>0.00</c:formatCode>
                <c:ptCount val="7"/>
                <c:pt idx="0">
                  <c:v>3.1</c:v>
                </c:pt>
                <c:pt idx="1">
                  <c:v>0.25</c:v>
                </c:pt>
                <c:pt idx="2">
                  <c:v>0.22222222222222143</c:v>
                </c:pt>
                <c:pt idx="3">
                  <c:v>0.11111111111111116</c:v>
                </c:pt>
                <c:pt idx="4">
                  <c:v>0.11111111111111072</c:v>
                </c:pt>
                <c:pt idx="5">
                  <c:v>1.3333333333333333</c:v>
                </c:pt>
                <c:pt idx="6">
                  <c:v>-2.5999999999999996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D-48F7-8FF6-D4845162AE49}"/>
            </c:ext>
          </c:extLst>
        </c:ser>
        <c:ser>
          <c:idx val="2"/>
          <c:order val="2"/>
          <c:tx>
            <c:strRef>
              <c:f>MIP!$D$3</c:f>
              <c:strCache>
                <c:ptCount val="1"/>
                <c:pt idx="0">
                  <c:v>Soma de AST/TO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MIP!$A$4:$A$10</c:f>
              <c:strCache>
                <c:ptCount val="7"/>
                <c:pt idx="0">
                  <c:v>Manuela</c:v>
                </c:pt>
                <c:pt idx="1">
                  <c:v>Isadora</c:v>
                </c:pt>
                <c:pt idx="2">
                  <c:v>Laura</c:v>
                </c:pt>
                <c:pt idx="3">
                  <c:v>Tess</c:v>
                </c:pt>
                <c:pt idx="4">
                  <c:v>Jasmin</c:v>
                </c:pt>
                <c:pt idx="5">
                  <c:v>Sofia</c:v>
                </c:pt>
                <c:pt idx="6">
                  <c:v>Rosa</c:v>
                </c:pt>
              </c:strCache>
            </c:strRef>
          </c:cat>
          <c:val>
            <c:numRef>
              <c:f>MIP!$D$4:$D$10</c:f>
              <c:numCache>
                <c:formatCode>0.00</c:formatCode>
                <c:ptCount val="7"/>
                <c:pt idx="0">
                  <c:v>6.9767441860465115E-2</c:v>
                </c:pt>
                <c:pt idx="1">
                  <c:v>0.18032786885245902</c:v>
                </c:pt>
                <c:pt idx="2">
                  <c:v>0.10344827586206896</c:v>
                </c:pt>
                <c:pt idx="3">
                  <c:v>0.1</c:v>
                </c:pt>
                <c:pt idx="4">
                  <c:v>0.18181818181818182</c:v>
                </c:pt>
                <c:pt idx="5">
                  <c:v>9.0909090909090912E-2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D-48F7-8FF6-D4845162AE49}"/>
            </c:ext>
          </c:extLst>
        </c:ser>
        <c:ser>
          <c:idx val="3"/>
          <c:order val="3"/>
          <c:tx>
            <c:strRef>
              <c:f>MIP!$E$3</c:f>
              <c:strCache>
                <c:ptCount val="1"/>
                <c:pt idx="0">
                  <c:v>Soma de ΔEFF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MIP!$A$4:$A$10</c:f>
              <c:strCache>
                <c:ptCount val="7"/>
                <c:pt idx="0">
                  <c:v>Manuela</c:v>
                </c:pt>
                <c:pt idx="1">
                  <c:v>Isadora</c:v>
                </c:pt>
                <c:pt idx="2">
                  <c:v>Laura</c:v>
                </c:pt>
                <c:pt idx="3">
                  <c:v>Tess</c:v>
                </c:pt>
                <c:pt idx="4">
                  <c:v>Jasmin</c:v>
                </c:pt>
                <c:pt idx="5">
                  <c:v>Sofia</c:v>
                </c:pt>
                <c:pt idx="6">
                  <c:v>Rosa</c:v>
                </c:pt>
              </c:strCache>
            </c:strRef>
          </c:cat>
          <c:val>
            <c:numRef>
              <c:f>MIP!$E$4:$E$10</c:f>
              <c:numCache>
                <c:formatCode>0.00</c:formatCode>
                <c:ptCount val="7"/>
                <c:pt idx="0">
                  <c:v>7.5</c:v>
                </c:pt>
                <c:pt idx="1">
                  <c:v>5.375</c:v>
                </c:pt>
                <c:pt idx="2">
                  <c:v>2.333333333333333</c:v>
                </c:pt>
                <c:pt idx="3">
                  <c:v>0</c:v>
                </c:pt>
                <c:pt idx="4">
                  <c:v>1.1111111111111112</c:v>
                </c:pt>
                <c:pt idx="5">
                  <c:v>-0.55555555555555558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D-48F7-8FF6-D4845162AE49}"/>
            </c:ext>
          </c:extLst>
        </c:ser>
        <c:ser>
          <c:idx val="4"/>
          <c:order val="4"/>
          <c:tx>
            <c:strRef>
              <c:f>MIP!$F$3</c:f>
              <c:strCache>
                <c:ptCount val="1"/>
                <c:pt idx="0">
                  <c:v>Soma de Δ+ / 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MIP!$A$4:$A$10</c:f>
              <c:strCache>
                <c:ptCount val="7"/>
                <c:pt idx="0">
                  <c:v>Manuela</c:v>
                </c:pt>
                <c:pt idx="1">
                  <c:v>Isadora</c:v>
                </c:pt>
                <c:pt idx="2">
                  <c:v>Laura</c:v>
                </c:pt>
                <c:pt idx="3">
                  <c:v>Tess</c:v>
                </c:pt>
                <c:pt idx="4">
                  <c:v>Jasmin</c:v>
                </c:pt>
                <c:pt idx="5">
                  <c:v>Sofia</c:v>
                </c:pt>
                <c:pt idx="6">
                  <c:v>Rosa</c:v>
                </c:pt>
              </c:strCache>
            </c:strRef>
          </c:cat>
          <c:val>
            <c:numRef>
              <c:f>MIP!$F$4:$F$10</c:f>
              <c:numCache>
                <c:formatCode>0.00</c:formatCode>
                <c:ptCount val="7"/>
                <c:pt idx="0">
                  <c:v>2.4000000000000004</c:v>
                </c:pt>
                <c:pt idx="1">
                  <c:v>7.125</c:v>
                </c:pt>
                <c:pt idx="2">
                  <c:v>5.7777777777777786</c:v>
                </c:pt>
                <c:pt idx="3">
                  <c:v>3.7777777777777777</c:v>
                </c:pt>
                <c:pt idx="4">
                  <c:v>2.333333333333333</c:v>
                </c:pt>
                <c:pt idx="5">
                  <c:v>-0.33333333333333348</c:v>
                </c:pt>
                <c:pt idx="6">
                  <c:v>9.9999999999999645E-2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D-48F7-8FF6-D4845162AE49}"/>
            </c:ext>
          </c:extLst>
        </c:ser>
        <c:ser>
          <c:idx val="5"/>
          <c:order val="5"/>
          <c:tx>
            <c:strRef>
              <c:f>MIP!$G$3</c:f>
              <c:strCache>
                <c:ptCount val="1"/>
                <c:pt idx="0">
                  <c:v>Soma de Pontuação MIP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MIP!$A$4:$A$10</c:f>
              <c:strCache>
                <c:ptCount val="7"/>
                <c:pt idx="0">
                  <c:v>Manuela</c:v>
                </c:pt>
                <c:pt idx="1">
                  <c:v>Isadora</c:v>
                </c:pt>
                <c:pt idx="2">
                  <c:v>Laura</c:v>
                </c:pt>
                <c:pt idx="3">
                  <c:v>Tess</c:v>
                </c:pt>
                <c:pt idx="4">
                  <c:v>Jasmin</c:v>
                </c:pt>
                <c:pt idx="5">
                  <c:v>Sofia</c:v>
                </c:pt>
                <c:pt idx="6">
                  <c:v>Rosa</c:v>
                </c:pt>
              </c:strCache>
            </c:strRef>
          </c:cat>
          <c:val>
            <c:numRef>
              <c:f>MIP!$G$4:$G$10</c:f>
              <c:numCache>
                <c:formatCode>0.00</c:formatCode>
                <c:ptCount val="7"/>
                <c:pt idx="0">
                  <c:v>14.369767441860466</c:v>
                </c:pt>
                <c:pt idx="1">
                  <c:v>13.680327868852459</c:v>
                </c:pt>
                <c:pt idx="2">
                  <c:v>12.325670498084293</c:v>
                </c:pt>
                <c:pt idx="3">
                  <c:v>3.9888888888888889</c:v>
                </c:pt>
                <c:pt idx="4">
                  <c:v>1.2929292929292919</c:v>
                </c:pt>
                <c:pt idx="5">
                  <c:v>0.53535353535353503</c:v>
                </c:pt>
                <c:pt idx="6">
                  <c:v>-1.5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AD-48F7-8FF6-D4845162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774656"/>
        <c:axId val="47771776"/>
        <c:axId val="1441580720"/>
      </c:bar3DChart>
      <c:catAx>
        <c:axId val="4777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1776"/>
        <c:crosses val="autoZero"/>
        <c:auto val="1"/>
        <c:lblAlgn val="ctr"/>
        <c:lblOffset val="100"/>
        <c:noMultiLvlLbl val="0"/>
      </c:catAx>
      <c:valAx>
        <c:axId val="477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4656"/>
        <c:crosses val="autoZero"/>
        <c:crossBetween val="between"/>
      </c:valAx>
      <c:serAx>
        <c:axId val="1441580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177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27</xdr:row>
      <xdr:rowOff>114300</xdr:rowOff>
    </xdr:from>
    <xdr:to>
      <xdr:col>14</xdr:col>
      <xdr:colOff>708660</xdr:colOff>
      <xdr:row>32</xdr:row>
      <xdr:rowOff>137160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9ABA4FA-A833-D7C2-1177-113EB1EDC7DF}"/>
            </a:ext>
          </a:extLst>
        </xdr:cNvPr>
        <xdr:cNvSpPr txBox="1"/>
      </xdr:nvSpPr>
      <xdr:spPr>
        <a:xfrm>
          <a:off x="152400" y="5052060"/>
          <a:ext cx="12496800" cy="93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O melhor lineup ficou com a 3ª formação num apanhado</a:t>
          </a:r>
          <a:r>
            <a:rPr lang="pt-BR" sz="1800" baseline="0"/>
            <a:t> médio geral. O segundo melhor ficou entre o lineup 2 e 6 com a seguinte diferença: o lineup 2 é claramente superior em produção de pontos e rebote, mas também é o pior em TO e +/-. Isso acontece porque as atletas Beatriz e Isadora tiveram mais tempo total de quadra, o que resulta numa maior possibilidade de TO e um +/- melhor ajustado à realidade dos jogos.</a:t>
          </a:r>
          <a:endParaRPr lang="pt-BR" sz="1800"/>
        </a:p>
      </xdr:txBody>
    </xdr:sp>
    <xdr:clientData/>
  </xdr:twoCellAnchor>
  <xdr:twoCellAnchor>
    <xdr:from>
      <xdr:col>15</xdr:col>
      <xdr:colOff>335280</xdr:colOff>
      <xdr:row>20</xdr:row>
      <xdr:rowOff>110490</xdr:rowOff>
    </xdr:from>
    <xdr:to>
      <xdr:col>20</xdr:col>
      <xdr:colOff>15240</xdr:colOff>
      <xdr:row>35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AD3C89-9E92-8946-9855-5751E5611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38100</xdr:colOff>
      <xdr:row>20</xdr:row>
      <xdr:rowOff>110490</xdr:rowOff>
    </xdr:from>
    <xdr:to>
      <xdr:col>26</xdr:col>
      <xdr:colOff>548640</xdr:colOff>
      <xdr:row>35</xdr:row>
      <xdr:rowOff>110490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CA5D7D-B766-FB26-F32B-BD6E176CA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342900</xdr:colOff>
      <xdr:row>35</xdr:row>
      <xdr:rowOff>140970</xdr:rowOff>
    </xdr:from>
    <xdr:to>
      <xdr:col>20</xdr:col>
      <xdr:colOff>22860</xdr:colOff>
      <xdr:row>50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1739306-F829-A9CA-C390-35558DA43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45720</xdr:colOff>
      <xdr:row>35</xdr:row>
      <xdr:rowOff>140970</xdr:rowOff>
    </xdr:from>
    <xdr:to>
      <xdr:col>26</xdr:col>
      <xdr:colOff>556260</xdr:colOff>
      <xdr:row>50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97371B5-9662-B85B-88BC-57C9F9BDD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335280</xdr:colOff>
      <xdr:row>51</xdr:row>
      <xdr:rowOff>3810</xdr:rowOff>
    </xdr:from>
    <xdr:to>
      <xdr:col>20</xdr:col>
      <xdr:colOff>15240</xdr:colOff>
      <xdr:row>66</xdr:row>
      <xdr:rowOff>3810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0259686-5673-D0C2-88B6-0CB0C78A3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53340</xdr:colOff>
      <xdr:row>51</xdr:row>
      <xdr:rowOff>3810</xdr:rowOff>
    </xdr:from>
    <xdr:to>
      <xdr:col>26</xdr:col>
      <xdr:colOff>563880</xdr:colOff>
      <xdr:row>66</xdr:row>
      <xdr:rowOff>3810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C072595-AE71-E93C-2B55-640941DFF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144780</xdr:colOff>
      <xdr:row>3</xdr:row>
      <xdr:rowOff>7620</xdr:rowOff>
    </xdr:from>
    <xdr:to>
      <xdr:col>15</xdr:col>
      <xdr:colOff>182880</xdr:colOff>
      <xdr:row>18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43C0FA-6B94-28B8-3417-D4A1BA9BC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5</xdr:row>
      <xdr:rowOff>30480</xdr:rowOff>
    </xdr:from>
    <xdr:to>
      <xdr:col>16</xdr:col>
      <xdr:colOff>106680</xdr:colOff>
      <xdr:row>20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82B68B-E344-E935-09A8-801AD1FBA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anziger Guimarães de Andrade" refreshedDate="45988.458648148146" createdVersion="8" refreshedVersion="8" minRefreshableVersion="3" recordCount="7" xr:uid="{DBFA0A1A-E8C3-4EDE-A848-AB29C3501232}">
  <cacheSource type="worksheet">
    <worksheetSource name="MIP_Dados"/>
  </cacheSource>
  <cacheFields count="10">
    <cacheField name="Team" numFmtId="0">
      <sharedItems/>
    </cacheField>
    <cacheField name="Player" numFmtId="0">
      <sharedItems count="7">
        <s v="Sofia"/>
        <s v="Jasmin"/>
        <s v="Laura"/>
        <s v="Isadora"/>
        <s v="Manuela"/>
        <s v="Tess"/>
        <s v="Rosa"/>
      </sharedItems>
    </cacheField>
    <cacheField name="No." numFmtId="0">
      <sharedItems/>
    </cacheField>
    <cacheField name="GP" numFmtId="0">
      <sharedItems/>
    </cacheField>
    <cacheField name="ΔPPG" numFmtId="2">
      <sharedItems containsSemiMixedTypes="0" containsString="0" containsNumber="1" minValue="-2.4444444444444446" maxValue="3.8888888888888893" count="6">
        <n v="0"/>
        <n v="-2.4444444444444446"/>
        <n v="3.8888888888888893"/>
        <n v="0.75"/>
        <n v="1.3"/>
        <n v="0.4"/>
      </sharedItems>
    </cacheField>
    <cacheField name="ΔREB" numFmtId="2">
      <sharedItems containsSemiMixedTypes="0" containsString="0" containsNumber="1" minValue="-2.5999999999999996" maxValue="3.1" count="7">
        <n v="1.3333333333333333"/>
        <n v="0.11111111111111072"/>
        <n v="0.22222222222222143"/>
        <n v="0.25"/>
        <n v="3.1"/>
        <n v="0.11111111111111116"/>
        <n v="-2.5999999999999996"/>
      </sharedItems>
    </cacheField>
    <cacheField name="AST/TO" numFmtId="2">
      <sharedItems containsSemiMixedTypes="0" containsString="0" containsNumber="1" minValue="0" maxValue="0.18181818181818182" count="7">
        <n v="9.0909090909090912E-2"/>
        <n v="0.18181818181818182"/>
        <n v="0.10344827586206896"/>
        <n v="0.18032786885245902"/>
        <n v="6.9767441860465115E-2"/>
        <n v="0.1"/>
        <n v="0"/>
      </sharedItems>
    </cacheField>
    <cacheField name="ΔEFF" numFmtId="2">
      <sharedItems containsSemiMixedTypes="0" containsString="0" containsNumber="1" minValue="-0.55555555555555558" maxValue="7.5" count="7">
        <n v="-0.55555555555555558"/>
        <n v="1.1111111111111112"/>
        <n v="2.333333333333333"/>
        <n v="5.375"/>
        <n v="7.5"/>
        <n v="0"/>
        <n v="0.6"/>
      </sharedItems>
    </cacheField>
    <cacheField name="Δ+ / -" numFmtId="2">
      <sharedItems containsSemiMixedTypes="0" containsString="0" containsNumber="1" minValue="-0.33333333333333348" maxValue="7.125" count="7">
        <n v="-0.33333333333333348"/>
        <n v="2.333333333333333"/>
        <n v="5.7777777777777786"/>
        <n v="7.125"/>
        <n v="2.4000000000000004"/>
        <n v="3.7777777777777777"/>
        <n v="9.9999999999999645E-2"/>
      </sharedItems>
    </cacheField>
    <cacheField name="Pontuação MIP" numFmtId="2">
      <sharedItems containsSemiMixedTypes="0" containsString="0" containsNumber="1" minValue="-1.5" maxValue="14.369767441860466" count="7">
        <n v="0.53535353535353503"/>
        <n v="1.2929292929292919"/>
        <n v="12.325670498084293"/>
        <n v="13.680327868852459"/>
        <n v="14.369767441860466"/>
        <n v="3.9888888888888889"/>
        <n v="-1.5"/>
      </sharedItems>
    </cacheField>
  </cacheFields>
  <extLst>
    <ext xmlns:x14="http://schemas.microsoft.com/office/spreadsheetml/2009/9/main" uri="{725AE2AE-9491-48be-B2B4-4EB974FC3084}">
      <x14:pivotCacheDefinition pivotCacheId="188239542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anziger Guimarães de Andrade" refreshedDate="45995.458705671299" createdVersion="8" refreshedVersion="8" minRefreshableVersion="3" recordCount="13" xr:uid="{BAC1C317-DE1C-42AC-AF38-006ED2A4F917}">
  <cacheSource type="worksheet">
    <worksheetSource name="MédiaVGBB25"/>
  </cacheSource>
  <cacheFields count="40">
    <cacheField name="Team" numFmtId="0">
      <sharedItems/>
    </cacheField>
    <cacheField name="Player" numFmtId="0">
      <sharedItems count="13">
        <s v="Manu_x000a_Resende"/>
        <s v="Sofia"/>
        <s v="Vittoria"/>
        <s v="Jasmin"/>
        <s v="Laura"/>
        <s v="Giovanna"/>
        <s v="Beatriz"/>
        <s v="Maria_x000a_Beatriz"/>
        <s v="Isadora"/>
        <s v="Manuela"/>
        <s v="Tess"/>
        <s v="Rosa"/>
        <s v="Total"/>
      </sharedItems>
    </cacheField>
    <cacheField name="No." numFmtId="0">
      <sharedItems/>
    </cacheField>
    <cacheField name="GP" numFmtId="0">
      <sharedItems containsMixedTypes="1" containsNumber="1" containsInteger="1" minValue="10" maxValue="10" count="7">
        <s v="2"/>
        <s v="9"/>
        <s v="1"/>
        <s v="3"/>
        <s v="8"/>
        <s v="10"/>
        <n v="10"/>
      </sharedItems>
    </cacheField>
    <cacheField name="PTS" numFmtId="0">
      <sharedItems containsMixedTypes="1" containsNumber="1" containsInteger="1" minValue="0" maxValue="160"/>
    </cacheField>
    <cacheField name="PPG" numFmtId="164">
      <sharedItems containsSemiMixedTypes="0" containsString="0" containsNumber="1" minValue="0" maxValue="16"/>
    </cacheField>
    <cacheField name="FG/FGA" numFmtId="0">
      <sharedItems/>
    </cacheField>
    <cacheField name="FGA" numFmtId="0">
      <sharedItems/>
    </cacheField>
    <cacheField name="FGM" numFmtId="0">
      <sharedItems containsSemiMixedTypes="0" containsString="0" containsNumber="1" containsInteger="1" minValue="0" maxValue="70"/>
    </cacheField>
    <cacheField name="FG%" numFmtId="9">
      <sharedItems containsMixedTypes="1" containsNumber="1" minValue="0" maxValue="0.25842696629213485"/>
    </cacheField>
    <cacheField name="2P/2PA" numFmtId="0">
      <sharedItems/>
    </cacheField>
    <cacheField name="2PA" numFmtId="0">
      <sharedItems/>
    </cacheField>
    <cacheField name="2PM" numFmtId="0">
      <sharedItems containsSemiMixedTypes="0" containsString="0" containsNumber="1" containsInteger="1" minValue="0" maxValue="63"/>
    </cacheField>
    <cacheField name="2P%" numFmtId="9">
      <sharedItems containsMixedTypes="1" containsNumber="1" minValue="0" maxValue="1"/>
    </cacheField>
    <cacheField name="3P/3PA" numFmtId="0">
      <sharedItems/>
    </cacheField>
    <cacheField name="3PA" numFmtId="0">
      <sharedItems/>
    </cacheField>
    <cacheField name="3PTM" numFmtId="0">
      <sharedItems containsSemiMixedTypes="0" containsString="0" containsNumber="1" containsInteger="1" minValue="0" maxValue="7"/>
    </cacheField>
    <cacheField name="3P%" numFmtId="9">
      <sharedItems containsMixedTypes="1" containsNumber="1" minValue="0" maxValue="0.125"/>
    </cacheField>
    <cacheField name="FT/FTA" numFmtId="0">
      <sharedItems/>
    </cacheField>
    <cacheField name="FTA" numFmtId="0">
      <sharedItems/>
    </cacheField>
    <cacheField name="FTM" numFmtId="0">
      <sharedItems containsSemiMixedTypes="0" containsString="0" containsNumber="1" containsInteger="1" minValue="0" maxValue="13"/>
    </cacheField>
    <cacheField name="FT%" numFmtId="9">
      <sharedItems containsMixedTypes="1" containsNumber="1" minValue="0" maxValue="0.5"/>
    </cacheField>
    <cacheField name="REB" numFmtId="0">
      <sharedItems containsMixedTypes="1" containsNumber="1" containsInteger="1" minValue="0" maxValue="275"/>
    </cacheField>
    <cacheField name="AVG.REB" numFmtId="164">
      <sharedItems containsSemiMixedTypes="0" containsString="0" containsNumber="1" minValue="0" maxValue="27.5"/>
    </cacheField>
    <cacheField name="OR" numFmtId="0">
      <sharedItems containsMixedTypes="1" containsNumber="1" containsInteger="1" minValue="0" maxValue="97"/>
    </cacheField>
    <cacheField name="DR" numFmtId="0">
      <sharedItems containsMixedTypes="1" containsNumber="1" containsInteger="1" minValue="0" maxValue="178"/>
    </cacheField>
    <cacheField name="AST" numFmtId="0">
      <sharedItems containsMixedTypes="1" containsNumber="1" containsInteger="1" minValue="0" maxValue="36"/>
    </cacheField>
    <cacheField name="STL" numFmtId="0">
      <sharedItems containsMixedTypes="1" containsNumber="1" containsInteger="1" minValue="0" maxValue="145"/>
    </cacheField>
    <cacheField name="TO" numFmtId="0">
      <sharedItems containsMixedTypes="1" containsNumber="1" containsInteger="1" minValue="0" maxValue="339"/>
    </cacheField>
    <cacheField name="AVG.TO" numFmtId="164">
      <sharedItems containsSemiMixedTypes="0" containsString="0" containsNumber="1" minValue="0" maxValue="33.9"/>
    </cacheField>
    <cacheField name="EFF" numFmtId="0">
      <sharedItems containsMixedTypes="1" containsNumber="1" containsInteger="1" minValue="-118" maxValue="19"/>
    </cacheField>
    <cacheField name="+ / -" numFmtId="0">
      <sharedItems containsMixedTypes="1" containsNumber="1" containsInteger="1" minValue="-474" maxValue="0"/>
    </cacheField>
    <cacheField name="AVG. Plus/minus" numFmtId="164">
      <sharedItems containsSemiMixedTypes="0" containsString="0" containsNumber="1" minValue="-47.4" maxValue="0"/>
    </cacheField>
    <cacheField name="TS%" numFmtId="2">
      <sharedItems containsSemiMixedTypes="0" containsString="0" containsNumber="1" minValue="0" maxValue="321.21600000000001"/>
    </cacheField>
    <cacheField name="ORTG" numFmtId="2">
      <sharedItems containsMixedTypes="1" containsNumber="1" minValue="0" maxValue="44.829647340107584"/>
    </cacheField>
    <cacheField name="PTS/POSS" numFmtId="2">
      <sharedItems containsMixedTypes="1" containsNumber="1" minValue="0" maxValue="0.37358039450089658"/>
    </cacheField>
    <cacheField name="ASS/TO" numFmtId="0" formula="AST/TO" databaseField="0"/>
    <cacheField name="True Shooting%" numFmtId="0" formula=" (PTS/2)*(FGA+(0.44*FTA))" databaseField="0"/>
    <cacheField name="ORTG2" numFmtId="0" formula="((FGM/GP)*(2+((0.5)*('3PTM'/GP)))+(FTM/GP)+(AST/GP))/((FGA/GP)+(TO/GP)+(0.44*(FTA/GP))-(OR/GP))" databaseField="0"/>
    <cacheField name="Pontuação MVP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EAB"/>
    <x v="0"/>
    <s v="4"/>
    <s v="9"/>
    <x v="0"/>
    <x v="0"/>
    <x v="0"/>
    <x v="0"/>
    <x v="0"/>
    <x v="0"/>
  </r>
  <r>
    <s v="EAB"/>
    <x v="1"/>
    <s v="7"/>
    <s v="9"/>
    <x v="1"/>
    <x v="1"/>
    <x v="1"/>
    <x v="1"/>
    <x v="1"/>
    <x v="1"/>
  </r>
  <r>
    <s v="EAB"/>
    <x v="2"/>
    <s v="8"/>
    <s v="9"/>
    <x v="2"/>
    <x v="2"/>
    <x v="2"/>
    <x v="2"/>
    <x v="2"/>
    <x v="2"/>
  </r>
  <r>
    <s v="EAB"/>
    <x v="3"/>
    <s v="12"/>
    <s v="8"/>
    <x v="3"/>
    <x v="3"/>
    <x v="3"/>
    <x v="3"/>
    <x v="3"/>
    <x v="3"/>
  </r>
  <r>
    <s v="EAB"/>
    <x v="4"/>
    <s v="16"/>
    <s v="10"/>
    <x v="4"/>
    <x v="4"/>
    <x v="4"/>
    <x v="4"/>
    <x v="4"/>
    <x v="4"/>
  </r>
  <r>
    <s v="EAB"/>
    <x v="5"/>
    <s v="17"/>
    <s v="9"/>
    <x v="0"/>
    <x v="5"/>
    <x v="5"/>
    <x v="5"/>
    <x v="5"/>
    <x v="5"/>
  </r>
  <r>
    <s v="EAB"/>
    <x v="6"/>
    <s v="20"/>
    <s v="10"/>
    <x v="5"/>
    <x v="6"/>
    <x v="6"/>
    <x v="6"/>
    <x v="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EAB"/>
    <x v="0"/>
    <s v="3"/>
    <x v="0"/>
    <s v="2"/>
    <n v="1"/>
    <s v="1/9"/>
    <s v="9"/>
    <n v="1"/>
    <n v="0.1111111111111111"/>
    <s v="1/4"/>
    <s v="4"/>
    <n v="1"/>
    <n v="0.25"/>
    <s v="0/5"/>
    <s v="5"/>
    <n v="0"/>
    <n v="0"/>
    <s v="0/0"/>
    <s v="0"/>
    <n v="0"/>
    <e v="#DIV/0!"/>
    <s v="2"/>
    <n v="1"/>
    <s v="1"/>
    <s v="1"/>
    <s v="0"/>
    <s v="0"/>
    <s v="9"/>
    <n v="4.5"/>
    <s v="-14"/>
    <s v="-6"/>
    <n v="-3"/>
    <n v="2.25"/>
    <n v="11.76470588235294"/>
    <n v="0.11764705882352941"/>
  </r>
  <r>
    <s v="EAB"/>
    <x v="1"/>
    <s v="4"/>
    <x v="1"/>
    <s v="0"/>
    <n v="0"/>
    <s v="0/11"/>
    <s v="11"/>
    <n v="0"/>
    <n v="0"/>
    <s v="0/9"/>
    <s v="9"/>
    <n v="0"/>
    <n v="0"/>
    <s v="0/2"/>
    <s v="2"/>
    <n v="0"/>
    <n v="0"/>
    <s v="0/2"/>
    <s v="2"/>
    <n v="0"/>
    <n v="0"/>
    <s v="12"/>
    <n v="1.3333333333333333"/>
    <s v="7"/>
    <s v="5"/>
    <s v="1"/>
    <s v="7"/>
    <s v="11"/>
    <n v="1.2222222222222223"/>
    <s v="-5"/>
    <s v="-21"/>
    <n v="-2.3333333333333335"/>
    <n v="0"/>
    <n v="6.2972292191435759"/>
    <n v="0"/>
  </r>
  <r>
    <s v="EAB"/>
    <x v="2"/>
    <s v="5"/>
    <x v="0"/>
    <n v="2"/>
    <n v="1"/>
    <s v="1/9"/>
    <s v="9"/>
    <n v="1"/>
    <n v="0.1111111111111111"/>
    <s v="1/9"/>
    <s v="9"/>
    <n v="1"/>
    <n v="0.1111111111111111"/>
    <s v="0/0"/>
    <s v="0"/>
    <n v="0"/>
    <e v="#DIV/0!"/>
    <s v="0/0"/>
    <s v="0"/>
    <n v="0"/>
    <e v="#DIV/0!"/>
    <n v="2"/>
    <n v="1"/>
    <n v="1"/>
    <n v="1"/>
    <n v="0"/>
    <n v="2"/>
    <n v="6"/>
    <n v="3"/>
    <n v="-8"/>
    <n v="-15"/>
    <n v="-7.5"/>
    <n v="2.25"/>
    <n v="14.285714285714285"/>
    <n v="0.14285714285714285"/>
  </r>
  <r>
    <s v="EAB"/>
    <x v="3"/>
    <s v="7"/>
    <x v="1"/>
    <n v="50"/>
    <n v="5.5555555555555554"/>
    <s v="23/89"/>
    <s v="89"/>
    <n v="23"/>
    <n v="0.25842696629213485"/>
    <s v="23/79"/>
    <s v="79"/>
    <n v="23"/>
    <n v="0.29113924050632911"/>
    <s v="0/10"/>
    <s v="10"/>
    <n v="0"/>
    <n v="0"/>
    <s v="4/11"/>
    <s v="11"/>
    <n v="4"/>
    <n v="0.36363636363636365"/>
    <n v="46"/>
    <n v="5.1111111111111107"/>
    <n v="15"/>
    <n v="31"/>
    <n v="10"/>
    <n v="44"/>
    <n v="55"/>
    <n v="6.1111111111111107"/>
    <n v="19"/>
    <n v="-60"/>
    <n v="-6.666666666666667"/>
    <n v="28.962962962962965"/>
    <n v="44.829647340107584"/>
    <n v="0.37358039450089658"/>
  </r>
  <r>
    <s v="EAB"/>
    <x v="4"/>
    <s v="8"/>
    <x v="1"/>
    <n v="53"/>
    <n v="5.8888888888888893"/>
    <s v="24/105"/>
    <s v="105"/>
    <n v="24"/>
    <n v="0.22857142857142856"/>
    <s v="21/78"/>
    <s v="78"/>
    <n v="21"/>
    <n v="0.26923076923076922"/>
    <s v="3/27"/>
    <s v="27"/>
    <n v="3"/>
    <n v="0.1111111111111111"/>
    <s v="2/13"/>
    <s v="13"/>
    <n v="2"/>
    <n v="0.15384615384615385"/>
    <n v="83"/>
    <n v="9.2222222222222214"/>
    <n v="22"/>
    <n v="61"/>
    <n v="6"/>
    <n v="24"/>
    <n v="58"/>
    <n v="6.4444444444444446"/>
    <n v="12"/>
    <n v="-92"/>
    <n v="-10.222222222222221"/>
    <n v="36.223209876543208"/>
    <n v="40.894220283533258"/>
    <n v="0.36123227917121048"/>
  </r>
  <r>
    <s v="EAB"/>
    <x v="5"/>
    <s v="9"/>
    <x v="2"/>
    <n v="0"/>
    <n v="0"/>
    <s v="0/0"/>
    <s v="0"/>
    <n v="0"/>
    <e v="#DIV/0!"/>
    <s v="0/0"/>
    <s v="0"/>
    <n v="0"/>
    <e v="#DIV/0!"/>
    <s v="0/0"/>
    <s v="0"/>
    <n v="0"/>
    <e v="#DIV/0!"/>
    <s v="0/0"/>
    <s v="0"/>
    <n v="0"/>
    <e v="#DIV/0!"/>
    <n v="0"/>
    <n v="0"/>
    <n v="0"/>
    <n v="0"/>
    <n v="0"/>
    <n v="0"/>
    <n v="0"/>
    <n v="0"/>
    <n v="0"/>
    <n v="0"/>
    <n v="0"/>
    <n v="0"/>
    <e v="#DIV/0!"/>
    <e v="#DIV/0!"/>
  </r>
  <r>
    <s v="EAB"/>
    <x v="6"/>
    <s v="10"/>
    <x v="3"/>
    <n v="6"/>
    <n v="2"/>
    <s v="2/31"/>
    <s v="31"/>
    <n v="2"/>
    <n v="6.4516129032258063E-2"/>
    <s v="2/13"/>
    <s v="13"/>
    <n v="2"/>
    <n v="0.15384615384615385"/>
    <s v="0/18"/>
    <s v="18"/>
    <n v="0"/>
    <n v="0"/>
    <s v="2/4"/>
    <s v="4"/>
    <n v="2"/>
    <n v="0.5"/>
    <n v="10"/>
    <n v="3.3333333333333335"/>
    <n v="1"/>
    <n v="9"/>
    <n v="0"/>
    <n v="4"/>
    <n v="18"/>
    <n v="6"/>
    <n v="-31"/>
    <n v="-39"/>
    <n v="-13"/>
    <n v="10.92"/>
    <n v="12.05787781350482"/>
    <n v="0.12057877813504823"/>
  </r>
  <r>
    <s v="EAB"/>
    <x v="7"/>
    <s v="11"/>
    <x v="0"/>
    <n v="0"/>
    <n v="0"/>
    <s v="0/0"/>
    <s v="0"/>
    <n v="0"/>
    <e v="#DIV/0!"/>
    <s v="0/0"/>
    <s v="0"/>
    <n v="0"/>
    <e v="#DIV/0!"/>
    <s v="0/0"/>
    <s v="0"/>
    <n v="0"/>
    <e v="#DIV/0!"/>
    <s v="0/0"/>
    <s v="0"/>
    <n v="0"/>
    <e v="#DIV/0!"/>
    <n v="1"/>
    <n v="0.5"/>
    <n v="0"/>
    <n v="1"/>
    <n v="0"/>
    <n v="0"/>
    <n v="1"/>
    <n v="0.5"/>
    <n v="0"/>
    <n v="-4"/>
    <n v="-2"/>
    <n v="0"/>
    <n v="0"/>
    <n v="0"/>
  </r>
  <r>
    <s v="EAB"/>
    <x v="8"/>
    <s v="12"/>
    <x v="4"/>
    <n v="30"/>
    <n v="3.75"/>
    <s v="13/72"/>
    <s v="72"/>
    <n v="13"/>
    <n v="0.18055555555555555"/>
    <s v="10/47"/>
    <s v="47"/>
    <n v="10"/>
    <n v="0.21276595744680851"/>
    <s v="3/25"/>
    <s v="25"/>
    <n v="3"/>
    <n v="0.12"/>
    <s v="1/12"/>
    <s v="12"/>
    <n v="1"/>
    <n v="8.3333333333333329E-2"/>
    <n v="34"/>
    <n v="4.25"/>
    <n v="15"/>
    <n v="19"/>
    <n v="11"/>
    <n v="15"/>
    <n v="61"/>
    <n v="7.625"/>
    <n v="-53"/>
    <n v="-55"/>
    <n v="-6.875"/>
    <n v="18.112500000000001"/>
    <n v="32.801346528228429"/>
    <n v="0.24334847501622323"/>
  </r>
  <r>
    <s v="EAB"/>
    <x v="9"/>
    <s v="16"/>
    <x v="5"/>
    <n v="13"/>
    <n v="1.3"/>
    <s v="4/23"/>
    <s v="23"/>
    <n v="4"/>
    <n v="0.17391304347826086"/>
    <s v="3/15"/>
    <s v="15"/>
    <n v="3"/>
    <n v="0.2"/>
    <s v="1/8"/>
    <s v="8"/>
    <n v="1"/>
    <n v="0.125"/>
    <s v="4/10"/>
    <s v="10"/>
    <n v="4"/>
    <n v="0.4"/>
    <n v="31"/>
    <n v="3.1"/>
    <n v="8"/>
    <n v="23"/>
    <n v="6"/>
    <n v="34"/>
    <n v="86"/>
    <n v="8.6"/>
    <n v="-35"/>
    <n v="-46"/>
    <n v="-4.5999999999999996"/>
    <n v="1.7809999999999999"/>
    <n v="17.26755218216319"/>
    <n v="0.12333965844402277"/>
  </r>
  <r>
    <s v="EAB"/>
    <x v="10"/>
    <s v="17"/>
    <x v="1"/>
    <n v="0"/>
    <n v="0"/>
    <s v="0/7"/>
    <s v="7"/>
    <n v="0"/>
    <n v="0"/>
    <s v="0/6"/>
    <s v="6"/>
    <n v="0"/>
    <n v="0"/>
    <s v="0/1"/>
    <s v="1"/>
    <n v="0"/>
    <n v="0"/>
    <s v="0/2"/>
    <s v="2"/>
    <n v="0"/>
    <n v="0"/>
    <n v="10"/>
    <n v="1.1111111111111112"/>
    <n v="7"/>
    <n v="3"/>
    <n v="2"/>
    <n v="9"/>
    <n v="20"/>
    <n v="2.2222222222222223"/>
    <n v="-9"/>
    <n v="-47"/>
    <n v="-5.2222222222222223"/>
    <n v="0"/>
    <n v="9.5785440613026811"/>
    <n v="0"/>
  </r>
  <r>
    <s v="EAB"/>
    <x v="11"/>
    <s v="20"/>
    <x v="5"/>
    <n v="4"/>
    <n v="0.4"/>
    <s v="2/20"/>
    <s v="20"/>
    <n v="2"/>
    <n v="0.1"/>
    <s v="2/19"/>
    <s v="19"/>
    <n v="19"/>
    <n v="1"/>
    <s v="0/1"/>
    <s v="1"/>
    <n v="0"/>
    <n v="0"/>
    <s v="0/4"/>
    <s v="4"/>
    <n v="0"/>
    <n v="0"/>
    <n v="44"/>
    <n v="4.4000000000000004"/>
    <n v="20"/>
    <n v="24"/>
    <n v="0"/>
    <n v="6"/>
    <n v="14"/>
    <n v="1.4"/>
    <n v="6"/>
    <n v="-89"/>
    <n v="-8.9"/>
    <n v="0.43520000000000003"/>
    <n v="25.38071065989848"/>
    <n v="0.25380710659898476"/>
  </r>
  <r>
    <s v="EAB"/>
    <x v="12"/>
    <s v="--"/>
    <x v="6"/>
    <n v="160"/>
    <n v="16"/>
    <s v="70/376"/>
    <s v="376"/>
    <n v="70"/>
    <n v="0.18617021276595744"/>
    <s v="63/279"/>
    <s v="279"/>
    <n v="63"/>
    <n v="0.22580645161290322"/>
    <s v="7/97"/>
    <s v="97"/>
    <n v="7"/>
    <n v="7.2164948453608241E-2"/>
    <s v="13/58"/>
    <s v="58"/>
    <n v="13"/>
    <n v="0.22413793103448276"/>
    <n v="275"/>
    <n v="27.5"/>
    <n v="97"/>
    <n v="178"/>
    <n v="36"/>
    <n v="145"/>
    <n v="339"/>
    <n v="33.9"/>
    <n v="-118"/>
    <n v="-474"/>
    <n v="-47.4"/>
    <n v="321.21600000000001"/>
    <n v="33.176902038786672"/>
    <n v="0.24863252113376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5F3E5-3F58-4C60-8BC8-5A19171E0B0A}" name="Line up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Line up 1">
  <location ref="A3:F9" firstHeaderRow="0" firstDataRow="1" firstDataCol="1"/>
  <pivotFields count="40">
    <pivotField subtotalTop="0" showAll="0"/>
    <pivotField axis="axisRow" subtotalTop="0" showAll="0" sortType="descending">
      <items count="14">
        <item x="6"/>
        <item h="1" x="5"/>
        <item x="8"/>
        <item x="3"/>
        <item h="1" x="4"/>
        <item h="1" x="0"/>
        <item x="9"/>
        <item h="1" x="7"/>
        <item x="11"/>
        <item h="1" x="1"/>
        <item h="1" x="10"/>
        <item h="1" x="12"/>
        <item h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numFmtId="164" subtotalTop="0" showAll="0"/>
    <pivotField dataField="1" numFmtId="9" subtotalTop="0" showAll="0"/>
    <pivotField subtotalTop="0" showAll="0"/>
    <pivotField dataField="1" subtotalTop="0" showAl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6">
    <i>
      <x v="3"/>
    </i>
    <i>
      <x v="2"/>
    </i>
    <i>
      <x/>
    </i>
    <i>
      <x v="6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PPG" fld="5" baseField="0" baseItem="0" numFmtId="164"/>
    <dataField name="Média de TS%" fld="33" subtotal="average" baseField="0" baseItem="0" numFmtId="9"/>
    <dataField name="Soma de PTS/POSS" fld="35" baseField="1" baseItem="0" numFmtId="2"/>
    <dataField name="Soma de AVG.REB" fld="23" baseField="0" baseItem="0" numFmtId="164"/>
    <dataField name="Soma de AVG.TO" fld="29" baseField="0" baseItem="0" numFmtId="164"/>
  </dataFields>
  <formats count="1">
    <format dxfId="1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81DC8-61EB-4614-8E0E-90B813AD469F}" name="Line up 6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Line up 6">
  <location ref="I19:N25" firstHeaderRow="0" firstDataRow="1" firstDataCol="1"/>
  <pivotFields count="40">
    <pivotField subtotalTop="0" showAll="0"/>
    <pivotField axis="axisRow" subtotalTop="0" showAll="0">
      <items count="14">
        <item h="1" x="6"/>
        <item h="1" x="5"/>
        <item h="1" x="8"/>
        <item x="3"/>
        <item x="4"/>
        <item h="1" x="0"/>
        <item x="9"/>
        <item h="1" x="7"/>
        <item x="11"/>
        <item h="1" x="1"/>
        <item x="10"/>
        <item h="1" x="12"/>
        <item h="1" x="2"/>
        <item t="default"/>
      </items>
    </pivotField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numFmtId="164" subtotalTop="0" showAll="0"/>
    <pivotField dataField="1" numFmtId="9" subtotalTop="0" showAll="0"/>
    <pivotField subtotalTop="0" showAll="0"/>
    <pivotField dataField="1" subtotalTop="0" showAl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6">
    <i>
      <x v="3"/>
    </i>
    <i>
      <x v="4"/>
    </i>
    <i>
      <x v="6"/>
    </i>
    <i>
      <x v="8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PPG" fld="5" baseField="0" baseItem="0" numFmtId="164"/>
    <dataField name="Média de TS%" fld="33" subtotal="average" baseField="0" baseItem="0" numFmtId="9"/>
    <dataField name="Soma de PTS/POSS" fld="35" baseField="1" baseItem="3" numFmtId="2"/>
    <dataField name="Soma de AVG.REB" fld="23" baseField="0" baseItem="0" numFmtId="164"/>
    <dataField name="Soma de AVG.TO" fld="29" baseField="0" baseItem="0" numFmtId="164"/>
  </dataFields>
  <formats count="1">
    <format dxfId="1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C98BA-D0EF-4CCA-95FE-8A74BC002A30}" name="Line up 5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Line up 5">
  <location ref="I11:N17" firstHeaderRow="0" firstDataRow="1" firstDataCol="1"/>
  <pivotFields count="40">
    <pivotField subtotalTop="0" showAll="0"/>
    <pivotField axis="axisRow" subtotalTop="0" showAll="0">
      <items count="14">
        <item h="1" x="6"/>
        <item h="1" x="5"/>
        <item x="8"/>
        <item x="3"/>
        <item h="1" x="4"/>
        <item x="0"/>
        <item x="9"/>
        <item h="1" x="7"/>
        <item h="1" x="11"/>
        <item x="1"/>
        <item h="1" x="10"/>
        <item h="1" x="12"/>
        <item h="1" x="2"/>
        <item t="default"/>
      </items>
    </pivotField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numFmtId="164" subtotalTop="0" showAll="0"/>
    <pivotField dataField="1" numFmtId="9" subtotalTop="0" showAll="0"/>
    <pivotField subtotalTop="0" showAll="0"/>
    <pivotField dataField="1" subtotalTop="0" showAl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6">
    <i>
      <x v="2"/>
    </i>
    <i>
      <x v="3"/>
    </i>
    <i>
      <x v="5"/>
    </i>
    <i>
      <x v="6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PPG" fld="5" baseField="0" baseItem="0" numFmtId="164"/>
    <dataField name="Média de TS%" fld="33" subtotal="average" baseField="0" baseItem="0" numFmtId="9"/>
    <dataField name="Soma de PTS/POSS" fld="35" baseField="1" baseItem="2" numFmtId="2"/>
    <dataField name="Soma de AVG.REB" fld="23" baseField="0" baseItem="0" numFmtId="164"/>
    <dataField name="Soma de AVG.TO" fld="29" baseField="0" baseItem="0" numFmtId="164"/>
  </dataFields>
  <formats count="1">
    <format dxfId="1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048A6-C5B5-4B07-A2B6-720F475BD681}" name="Line up 4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Line up 4">
  <location ref="I3:N9" firstHeaderRow="0" firstDataRow="1" firstDataCol="1"/>
  <pivotFields count="40">
    <pivotField subtotalTop="0" showAll="0"/>
    <pivotField axis="axisRow" subtotalTop="0" showAll="0">
      <items count="14">
        <item x="6"/>
        <item h="1" x="5"/>
        <item h="1" x="8"/>
        <item x="3"/>
        <item x="4"/>
        <item h="1" x="0"/>
        <item x="9"/>
        <item h="1" x="7"/>
        <item h="1" x="11"/>
        <item x="1"/>
        <item h="1" x="10"/>
        <item h="1" x="12"/>
        <item h="1" x="2"/>
        <item t="default"/>
      </items>
    </pivotField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numFmtId="164" subtotalTop="0" showAll="0"/>
    <pivotField dataField="1" numFmtId="9" subtotalTop="0" showAll="0"/>
    <pivotField subtotalTop="0" showAll="0"/>
    <pivotField dataField="1" subtotalTop="0" showAl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6">
    <i>
      <x/>
    </i>
    <i>
      <x v="3"/>
    </i>
    <i>
      <x v="4"/>
    </i>
    <i>
      <x v="6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PPG" fld="5" baseField="0" baseItem="0" numFmtId="164"/>
    <dataField name="Média de TS%" fld="33" subtotal="average" baseField="0" baseItem="0" numFmtId="9"/>
    <dataField name="Soma de PTS/POSS" fld="35" baseField="1" baseItem="3" numFmtId="2"/>
    <dataField name="Soma de AVG.REB" fld="23" baseField="0" baseItem="0" numFmtId="164"/>
    <dataField name="Soma de AVG.TO" fld="29" baseField="0" baseItem="0" numFmtId="164"/>
  </dataFields>
  <formats count="1">
    <format dxfId="1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62FBB-2074-48F5-9EEB-7ED416A37C04}" name="Line up 3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Line up 3">
  <location ref="A19:F25" firstHeaderRow="0" firstDataRow="1" firstDataCol="1"/>
  <pivotFields count="40">
    <pivotField subtotalTop="0" showAll="0"/>
    <pivotField axis="axisRow" subtotalTop="0" showAll="0">
      <items count="14">
        <item h="1" x="6"/>
        <item h="1" x="5"/>
        <item x="8"/>
        <item x="3"/>
        <item x="4"/>
        <item h="1" x="0"/>
        <item x="9"/>
        <item h="1" x="7"/>
        <item x="11"/>
        <item h="1" x="1"/>
        <item h="1" x="10"/>
        <item h="1" x="12"/>
        <item h="1" x="2"/>
        <item t="default"/>
      </items>
    </pivotField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numFmtId="164" subtotalTop="0" showAll="0"/>
    <pivotField dataField="1" numFmtId="9" subtotalTop="0" showAll="0"/>
    <pivotField subtotalTop="0" showAll="0"/>
    <pivotField dataField="1" subtotalTop="0" showAl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6">
    <i>
      <x v="2"/>
    </i>
    <i>
      <x v="3"/>
    </i>
    <i>
      <x v="4"/>
    </i>
    <i>
      <x v="6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PPG" fld="5" baseField="0" baseItem="0" numFmtId="164"/>
    <dataField name="Média de TS%" fld="33" subtotal="average" baseField="0" baseItem="0" numFmtId="9"/>
    <dataField name="Soma de PTS/POSS" fld="35" baseField="1" baseItem="4" numFmtId="2"/>
    <dataField name="Soma de AVG.REB" fld="23" baseField="0" baseItem="0" numFmtId="164"/>
    <dataField name="Soma de AVG.TO" fld="29" baseField="0" baseItem="0" numFmtId="164"/>
  </dataFields>
  <formats count="1">
    <format dxfId="15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56E59-7D6F-48A8-89DF-474A33761EA2}" name="Line up 2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Line up 2">
  <location ref="A11:F17" firstHeaderRow="0" firstDataRow="1" firstDataCol="1"/>
  <pivotFields count="40">
    <pivotField subtotalTop="0" showAll="0"/>
    <pivotField axis="axisRow" subtotalTop="0" showAll="0">
      <items count="14">
        <item x="6"/>
        <item h="1" x="5"/>
        <item x="8"/>
        <item x="3"/>
        <item x="4"/>
        <item h="1" x="0"/>
        <item x="9"/>
        <item h="1" x="7"/>
        <item h="1" x="11"/>
        <item h="1" x="1"/>
        <item h="1" x="10"/>
        <item h="1" x="12"/>
        <item h="1" x="2"/>
        <item t="default"/>
      </items>
    </pivotField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subtotalTop="0" showAll="0"/>
    <pivotField subtotalTop="0" showAll="0"/>
    <pivotField numFmtId="164" subtotalTop="0" showAll="0"/>
    <pivotField dataField="1" numFmtId="9" subtotalTop="0" showAll="0"/>
    <pivotField subtotalTop="0" showAll="0"/>
    <pivotField dataField="1" subtotalTop="0" showAl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PPG" fld="5" baseField="0" baseItem="0" numFmtId="164"/>
    <dataField name="Média de TS%" fld="33" subtotal="average" baseField="0" baseItem="0" numFmtId="9"/>
    <dataField name="Soma de PTS/POSS" fld="35" baseField="1" baseItem="0" numFmtId="2"/>
    <dataField name="Soma de AVG.REB" fld="23" baseField="0" baseItem="0" numFmtId="164"/>
    <dataField name="Soma de AVG.TO" fld="29" baseField="0" baseItem="0" numFmtId="164"/>
  </dataFields>
  <formats count="1">
    <format dxfId="1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5DAA6-C98D-4238-A3F1-0B4C28F1383E}" name="Métricas MVP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>
  <location ref="A3:H6" firstHeaderRow="0" firstDataRow="1" firstDataCol="1" rowPageCount="1" colPageCount="1"/>
  <pivotFields count="40">
    <pivotField showAll="0"/>
    <pivotField axis="axisRow" showAll="0" sortType="descending">
      <items count="14">
        <item h="1" x="6"/>
        <item h="1" x="5"/>
        <item x="8"/>
        <item x="3"/>
        <item x="4"/>
        <item h="1" x="0"/>
        <item h="1" x="9"/>
        <item h="1" x="7"/>
        <item h="1" x="11"/>
        <item h="1" x="1"/>
        <item h="1" x="10"/>
        <item h="1" x="12"/>
        <item h="1" x="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axis="axisPage" multipleItemSelectionAllowed="1" showAll="0">
      <items count="8">
        <item x="6"/>
        <item h="1" x="2"/>
        <item x="5"/>
        <item h="1" x="0"/>
        <item h="1" x="3"/>
        <item x="4"/>
        <item x="1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dataField="1" numFmtId="164" showAll="0"/>
    <pivotField dataField="1" numFmtId="9"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 v="3"/>
    </i>
    <i>
      <x v="4"/>
    </i>
    <i>
      <x v="2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3" hier="-1"/>
  </pageFields>
  <dataFields count="7">
    <dataField name=" PPG" fld="5" baseField="0" baseItem="0" numFmtId="164"/>
    <dataField name=" EFF" fld="30" baseField="1" baseItem="0"/>
    <dataField name=" ASS/TO" fld="36" baseField="0" baseItem="0" numFmtId="2"/>
    <dataField name=" TS%(x100)" fld="33" baseField="0" baseItem="0" numFmtId="2"/>
    <dataField name=" ORTG(x100)" fld="34" baseField="1" baseItem="4" numFmtId="2"/>
    <dataField name=" AVG. +/-" fld="32" baseField="0" baseItem="0" numFmtId="164"/>
    <dataField name="Soma de AVG.REB" fld="23" baseField="0" baseItem="0" numFmtId="164"/>
  </dataFields>
  <formats count="4">
    <format dxfId="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3"/>
          </reference>
          <reference field="1" count="1">
            <x v="3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D497F-1DC5-4E65-AA3E-F7EC7B2FAC64}" name="Categorias MIP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showHeaders="0" outline="1" outlineData="1" multipleFieldFilters="0" chartFormat="7">
  <location ref="A3:G10" firstHeaderRow="0" firstDataRow="1" firstDataCol="1"/>
  <pivotFields count="10">
    <pivotField showAll="0"/>
    <pivotField axis="axisRow" showAll="0" sortType="descending">
      <items count="8">
        <item x="3"/>
        <item x="1"/>
        <item x="2"/>
        <item x="4"/>
        <item x="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numFmtId="2" showAll="0">
      <items count="7">
        <item x="1"/>
        <item x="0"/>
        <item x="5"/>
        <item x="3"/>
        <item x="4"/>
        <item x="2"/>
        <item t="default"/>
      </items>
    </pivotField>
    <pivotField dataField="1" numFmtId="2" showAll="0">
      <items count="8">
        <item x="6"/>
        <item x="1"/>
        <item x="5"/>
        <item x="2"/>
        <item x="3"/>
        <item x="0"/>
        <item x="4"/>
        <item t="default"/>
      </items>
    </pivotField>
    <pivotField dataField="1" numFmtId="2" showAll="0">
      <items count="8">
        <item x="6"/>
        <item x="4"/>
        <item x="0"/>
        <item x="5"/>
        <item x="2"/>
        <item x="3"/>
        <item x="1"/>
        <item t="default"/>
      </items>
    </pivotField>
    <pivotField dataField="1" numFmtId="2" showAll="0">
      <items count="8">
        <item x="0"/>
        <item x="5"/>
        <item x="6"/>
        <item x="1"/>
        <item x="2"/>
        <item x="3"/>
        <item x="4"/>
        <item t="default"/>
      </items>
    </pivotField>
    <pivotField dataField="1" numFmtId="2" showAll="0">
      <items count="8">
        <item x="0"/>
        <item x="6"/>
        <item x="1"/>
        <item x="4"/>
        <item x="5"/>
        <item x="2"/>
        <item x="3"/>
        <item t="default"/>
      </items>
    </pivotField>
    <pivotField dataField="1" numFmtId="2" showAll="0" measureFilter="1">
      <items count="8">
        <item x="6"/>
        <item x="0"/>
        <item x="1"/>
        <item x="5"/>
        <item x="2"/>
        <item x="3"/>
        <item x="4"/>
        <item t="default"/>
      </items>
    </pivotField>
  </pivotFields>
  <rowFields count="1">
    <field x="1"/>
  </rowFields>
  <rowItems count="7">
    <i>
      <x v="3"/>
    </i>
    <i>
      <x/>
    </i>
    <i>
      <x v="2"/>
    </i>
    <i>
      <x v="6"/>
    </i>
    <i>
      <x v="1"/>
    </i>
    <i>
      <x v="5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ΔPPG" fld="4" baseField="0" baseItem="0" numFmtId="2"/>
    <dataField name="Soma de ΔREB" fld="5" baseField="0" baseItem="0" numFmtId="2"/>
    <dataField name="Soma de AST/TO" fld="6" baseField="0" baseItem="0" numFmtId="2"/>
    <dataField name="Soma de ΔEFF" fld="7" baseField="0" baseItem="0" numFmtId="2"/>
    <dataField name="Soma de Δ+ / -" fld="8" baseField="0" baseItem="0" numFmtId="2"/>
    <dataField name="Soma de Pontuação MIP" fld="9" baseField="0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20" showRowHeaders="1" showColHeaders="1" showRowStripes="1" showColStripes="0" showLastColumn="1"/>
  <filters count="1">
    <filter fld="9" type="count" evalOrder="-1" id="2" iMeasureFld="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20EF8118-31FF-4A69-B23D-730A4544A03B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Player" tableColumnId="2"/>
      <queryTableField id="3" name="No." tableColumnId="3"/>
      <queryTableField id="4" name="PTS" tableColumnId="4"/>
      <queryTableField id="5" name="FG" tableColumnId="5"/>
      <queryTableField id="6" name="FGA" tableColumnId="6"/>
      <queryTableField id="7" name="FG%" tableColumnId="7"/>
      <queryTableField id="8" name="2P" tableColumnId="8"/>
      <queryTableField id="9" name="2PA" tableColumnId="9"/>
      <queryTableField id="10" name="2P%" tableColumnId="10"/>
      <queryTableField id="11" name="3P" tableColumnId="11"/>
      <queryTableField id="12" name="3PA" tableColumnId="12"/>
      <queryTableField id="13" name="3P%" tableColumnId="13"/>
      <queryTableField id="14" name="FT" tableColumnId="14"/>
      <queryTableField id="15" name="FTA" tableColumnId="15"/>
      <queryTableField id="16" name="FT%" tableColumnId="16"/>
      <queryTableField id="17" name="REB" tableColumnId="17"/>
      <queryTableField id="18" name="OR" tableColumnId="18"/>
      <queryTableField id="19" name="DR" tableColumnId="19"/>
      <queryTableField id="20" name="AST" tableColumnId="20"/>
      <queryTableField id="21" name="STL" tableColumnId="21"/>
      <queryTableField id="22" name="TO" tableColumnId="22"/>
      <queryTableField id="23" name="EFF" tableColumnId="23"/>
      <queryTableField id="24" name="+ / -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16976835-5339-4432-BF7F-0F51A869479E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Player" tableColumnId="2"/>
      <queryTableField id="3" name="No." tableColumnId="3"/>
      <queryTableField id="4" name="PTS" tableColumnId="4"/>
      <queryTableField id="5" name="FG" tableColumnId="5"/>
      <queryTableField id="6" name="FGA" tableColumnId="6"/>
      <queryTableField id="7" name="FG%" tableColumnId="7"/>
      <queryTableField id="8" name="2P" tableColumnId="8"/>
      <queryTableField id="9" name="2PA" tableColumnId="9"/>
      <queryTableField id="10" name="2P%" tableColumnId="10"/>
      <queryTableField id="11" name="3P" tableColumnId="11"/>
      <queryTableField id="12" name="3PA" tableColumnId="12"/>
      <queryTableField id="13" name="3P%" tableColumnId="13"/>
      <queryTableField id="14" name="FT" tableColumnId="14"/>
      <queryTableField id="15" name="FTA" tableColumnId="15"/>
      <queryTableField id="16" name="FT%" tableColumnId="16"/>
      <queryTableField id="17" name="REB" tableColumnId="17"/>
      <queryTableField id="18" name="OR" tableColumnId="18"/>
      <queryTableField id="19" name="DR" tableColumnId="19"/>
      <queryTableField id="20" name="AST" tableColumnId="20"/>
      <queryTableField id="21" name="STL" tableColumnId="21"/>
      <queryTableField id="22" name="TO" tableColumnId="22"/>
      <queryTableField id="23" name="EFF" tableColumnId="23"/>
      <queryTableField id="24" name="+ / -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565F486-DCF9-4C62-9B36-699A4E2837A4}" autoFormatId="16" applyNumberFormats="0" applyBorderFormats="0" applyFontFormats="0" applyPatternFormats="0" applyAlignmentFormats="0" applyWidthHeightFormats="0">
  <queryTableRefresh nextId="37" unboundColumnsRight="4">
    <queryTableFields count="36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PTS" tableColumnId="5"/>
      <queryTableField id="6" name="PPG" tableColumnId="6"/>
      <queryTableField id="7" name="FG/FGA" tableColumnId="7"/>
      <queryTableField id="8" name="FGA" tableColumnId="8"/>
      <queryTableField id="23" dataBound="0" tableColumnId="24"/>
      <queryTableField id="24" dataBound="0" tableColumnId="25"/>
      <queryTableField id="9" name="2P/2PA" tableColumnId="9"/>
      <queryTableField id="10" name="2PA" tableColumnId="10"/>
      <queryTableField id="25" dataBound="0" tableColumnId="26"/>
      <queryTableField id="26" dataBound="0" tableColumnId="27"/>
      <queryTableField id="11" name="3P/3PA" tableColumnId="11"/>
      <queryTableField id="12" name="3PA" tableColumnId="12"/>
      <queryTableField id="27" dataBound="0" tableColumnId="28"/>
      <queryTableField id="28" dataBound="0" tableColumnId="29"/>
      <queryTableField id="13" name="FT/FTA" tableColumnId="13"/>
      <queryTableField id="14" name="FTA" tableColumnId="14"/>
      <queryTableField id="29" dataBound="0" tableColumnId="30"/>
      <queryTableField id="30" dataBound="0" tableColumnId="31"/>
      <queryTableField id="15" name="REB" tableColumnId="15"/>
      <queryTableField id="34" dataBound="0" tableColumnId="35"/>
      <queryTableField id="16" name="OR" tableColumnId="16"/>
      <queryTableField id="17" name="DR" tableColumnId="17"/>
      <queryTableField id="18" name="AST" tableColumnId="18"/>
      <queryTableField id="19" name="STL" tableColumnId="19"/>
      <queryTableField id="20" name="TO" tableColumnId="20"/>
      <queryTableField id="35" dataBound="0" tableColumnId="36"/>
      <queryTableField id="21" name="EFF" tableColumnId="21"/>
      <queryTableField id="22" name="+ / -" tableColumnId="22"/>
      <queryTableField id="36" dataBound="0" tableColumnId="37"/>
      <queryTableField id="31" dataBound="0" tableColumnId="23"/>
      <queryTableField id="32" dataBound="0" tableColumnId="32"/>
      <queryTableField id="33" dataBound="0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6C05D2-3FD4-42C0-90CE-88142A75DC22}" name="Jogo_2" displayName="Jogo_2" ref="A1:X14" tableType="queryTable" totalsRowShown="0">
  <autoFilter ref="A1:X14" xr:uid="{A56C05D2-3FD4-42C0-90CE-88142A75DC22}"/>
  <tableColumns count="24">
    <tableColumn id="1" xr3:uid="{92A4FAF4-F941-41DB-8100-19273F87779D}" uniqueName="1" name="Team" queryTableFieldId="1" dataDxfId="163"/>
    <tableColumn id="2" xr3:uid="{BB6AFF03-C8C5-4096-8660-866E947D4634}" uniqueName="2" name="Player" queryTableFieldId="2" dataDxfId="162"/>
    <tableColumn id="3" xr3:uid="{F22107F9-24BC-4276-87AF-A3533A174054}" uniqueName="3" name="No." queryTableFieldId="3" dataDxfId="161"/>
    <tableColumn id="4" xr3:uid="{3EB942B3-CEE8-48D9-BCC4-82E2738DF357}" uniqueName="4" name="PTS" queryTableFieldId="4"/>
    <tableColumn id="5" xr3:uid="{CE7D77A9-4DD7-4C34-BA82-5F070624C584}" uniqueName="5" name="FG" queryTableFieldId="5"/>
    <tableColumn id="6" xr3:uid="{BD263464-2796-47BE-9EB2-76D5A3C25286}" uniqueName="6" name="FGA" queryTableFieldId="6"/>
    <tableColumn id="7" xr3:uid="{A1D93A9A-A2F9-4757-A10A-1121FAAB2E1D}" uniqueName="7" name="FG%" queryTableFieldId="7" dataCellStyle="Porcentagem"/>
    <tableColumn id="8" xr3:uid="{29981D50-C9CF-4E9C-AB96-052B6F629F98}" uniqueName="8" name="2P" queryTableFieldId="8"/>
    <tableColumn id="9" xr3:uid="{EC051206-7F3D-4725-819F-32AD30A52B1B}" uniqueName="9" name="2PA" queryTableFieldId="9"/>
    <tableColumn id="10" xr3:uid="{C883CB5B-F4D9-4DD3-A407-4EC58914B93B}" uniqueName="10" name="2P%" queryTableFieldId="10" dataCellStyle="Porcentagem"/>
    <tableColumn id="11" xr3:uid="{4895E4F3-7415-40A7-8509-B572B7B3D8C7}" uniqueName="11" name="3P" queryTableFieldId="11"/>
    <tableColumn id="12" xr3:uid="{A7278F79-3A4F-4A4F-9AAE-5C60AA505C8C}" uniqueName="12" name="3PA" queryTableFieldId="12"/>
    <tableColumn id="13" xr3:uid="{56410691-89BF-4111-BCCB-0CD243F5B3A7}" uniqueName="13" name="3P%" queryTableFieldId="13" dataCellStyle="Porcentagem"/>
    <tableColumn id="14" xr3:uid="{E6728490-CEA5-482D-B360-F40FDBDF5A7E}" uniqueName="14" name="FT" queryTableFieldId="14"/>
    <tableColumn id="15" xr3:uid="{8A57A791-41B9-49A5-8EBC-4ED13FD83664}" uniqueName="15" name="FTA" queryTableFieldId="15"/>
    <tableColumn id="16" xr3:uid="{DE996B71-F594-43AD-8AFA-8B94F3EF5265}" uniqueName="16" name="FT%" queryTableFieldId="16" dataCellStyle="Porcentagem"/>
    <tableColumn id="17" xr3:uid="{5F7E010E-18F9-43AE-A884-B63EE665881E}" uniqueName="17" name="REB" queryTableFieldId="17"/>
    <tableColumn id="18" xr3:uid="{AA16EE1A-B550-413D-8D63-F796C7A019AA}" uniqueName="18" name="OR" queryTableFieldId="18"/>
    <tableColumn id="19" xr3:uid="{93FBF0E2-0A8A-40FC-B9FF-EDCDC717D7DE}" uniqueName="19" name="DR" queryTableFieldId="19"/>
    <tableColumn id="20" xr3:uid="{AD528721-DF20-4729-9B14-B7E9D69A86CD}" uniqueName="20" name="AST" queryTableFieldId="20"/>
    <tableColumn id="21" xr3:uid="{FED68E45-4EDB-41C3-8C14-4B9A48401ED8}" uniqueName="21" name="STL" queryTableFieldId="21"/>
    <tableColumn id="22" xr3:uid="{D4C23C45-419F-4E4B-BE36-A5944EC6A067}" uniqueName="22" name="TO" queryTableFieldId="22"/>
    <tableColumn id="23" xr3:uid="{B843A0D8-4000-4E15-A5F4-324E9D3F5F4F}" uniqueName="23" name="EFF" queryTableFieldId="23"/>
    <tableColumn id="24" xr3:uid="{6115C879-A71E-448D-847B-1AEBF8D44A72}" uniqueName="24" name="+ / -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BB077E-617C-48D4-B66E-F0E13CFA3054}" name="Jogo_1" displayName="Jogo_1" ref="A1:X12" tableType="queryTable" totalsRowShown="0">
  <autoFilter ref="A1:X12" xr:uid="{B4BB077E-617C-48D4-B66E-F0E13CFA3054}"/>
  <tableColumns count="24">
    <tableColumn id="1" xr3:uid="{C794AF45-78E3-45D4-8758-9D6E270E6B27}" uniqueName="1" name="Team" queryTableFieldId="1" dataDxfId="160"/>
    <tableColumn id="2" xr3:uid="{738661BB-77D4-4159-B6D3-A06421676E16}" uniqueName="2" name="Player" queryTableFieldId="2" dataDxfId="159"/>
    <tableColumn id="3" xr3:uid="{0E38FAF6-2D17-4ADE-92FE-4577A17817C3}" uniqueName="3" name="No." queryTableFieldId="3"/>
    <tableColumn id="4" xr3:uid="{3B6E05B4-2199-40B5-B0D4-41E3896E7EFB}" uniqueName="4" name="PTS" queryTableFieldId="4"/>
    <tableColumn id="5" xr3:uid="{2F507D7C-CBE8-4AFD-AF9A-38BCCB912826}" uniqueName="5" name="FG" queryTableFieldId="5" dataDxfId="158"/>
    <tableColumn id="6" xr3:uid="{52C4FC50-69C1-4139-8DA2-962A62DDD792}" uniqueName="6" name="FGA" queryTableFieldId="6" dataDxfId="157"/>
    <tableColumn id="7" xr3:uid="{4BBCE6AC-8DB3-42DC-9C64-8FCF1DF36B08}" uniqueName="7" name="FG%" queryTableFieldId="7" dataCellStyle="Porcentagem"/>
    <tableColumn id="8" xr3:uid="{09F47BDD-430A-47A5-98A2-1D604E322480}" uniqueName="8" name="2P" queryTableFieldId="8"/>
    <tableColumn id="9" xr3:uid="{E01C2CC7-6A64-43EF-BCCD-C719AA84E6DF}" uniqueName="9" name="2PA" queryTableFieldId="9"/>
    <tableColumn id="10" xr3:uid="{CBCCD823-AA50-4F57-97BE-1BE3532F8BCD}" uniqueName="10" name="2P%" queryTableFieldId="10" dataCellStyle="Porcentagem"/>
    <tableColumn id="11" xr3:uid="{B9A3B97E-E919-4E7F-BCC2-0C73667FCF6F}" uniqueName="11" name="3P" queryTableFieldId="11"/>
    <tableColumn id="12" xr3:uid="{30126BAC-3607-4E89-9521-CFF60B0275D0}" uniqueName="12" name="3PA" queryTableFieldId="12"/>
    <tableColumn id="13" xr3:uid="{471CD162-CF46-46C5-A5B1-E3BBC32C3D44}" uniqueName="13" name="3P%" queryTableFieldId="13" dataCellStyle="Porcentagem"/>
    <tableColumn id="14" xr3:uid="{5F1C45A4-5BD2-4E25-8A1A-CB49CFE36393}" uniqueName="14" name="FT" queryTableFieldId="14"/>
    <tableColumn id="15" xr3:uid="{1CD47E08-087F-4784-B3AC-24E9EFD6945F}" uniqueName="15" name="FTA" queryTableFieldId="15"/>
    <tableColumn id="16" xr3:uid="{C8E30BC7-8EC5-4481-9893-E17DB757B9B6}" uniqueName="16" name="FT%" queryTableFieldId="16" dataCellStyle="Porcentagem"/>
    <tableColumn id="17" xr3:uid="{30F9A809-06A0-484F-B0FC-3642D4B26268}" uniqueName="17" name="REB" queryTableFieldId="17"/>
    <tableColumn id="18" xr3:uid="{515862E4-3F86-45F4-986A-2E2891C7A54E}" uniqueName="18" name="OR" queryTableFieldId="18"/>
    <tableColumn id="19" xr3:uid="{5D315824-24EE-4CC1-95C7-9BEE4CE5A7E2}" uniqueName="19" name="DR" queryTableFieldId="19"/>
    <tableColumn id="20" xr3:uid="{DB1D4491-D229-4B3C-A611-B8ABCEBAF2E6}" uniqueName="20" name="AST" queryTableFieldId="20"/>
    <tableColumn id="21" xr3:uid="{A0586D7B-97FB-4F19-8D05-508CB2D30321}" uniqueName="21" name="STL" queryTableFieldId="21"/>
    <tableColumn id="22" xr3:uid="{757E971D-DEBA-4BE6-9096-B3AB51FF1FEB}" uniqueName="22" name="TO" queryTableFieldId="22"/>
    <tableColumn id="23" xr3:uid="{AA44BB3F-D866-44A8-8CCC-E452E8F6F45E}" uniqueName="23" name="EFF" queryTableFieldId="23"/>
    <tableColumn id="24" xr3:uid="{EB02BFEB-357D-4389-848E-D4C9FEF9E90B}" uniqueName="24" name="+ / -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01C1CD-E9CF-4EB9-A8B9-AD092E53CB58}" name="Resultado_lineup1" displayName="Resultado_lineup1" ref="R3:X4" totalsRowShown="0" headerRowDxfId="150" dataDxfId="149" tableBorderDxfId="148">
  <autoFilter ref="R3:X4" xr:uid="{D901C1CD-E9CF-4EB9-A8B9-AD092E53CB58}"/>
  <tableColumns count="7">
    <tableColumn id="1" xr3:uid="{5BC32C17-80C0-47F8-8C14-EB8BBA7F816C}" name="Line up 1" dataDxfId="147"/>
    <tableColumn id="2" xr3:uid="{3B48E517-40C9-4D95-9C5B-6C48DB12D5B8}" name=" PPG" dataDxfId="146"/>
    <tableColumn id="3" xr3:uid="{2B8A8A84-7C5C-4118-A3A7-F03994372E32}" name="TS%" dataDxfId="145"/>
    <tableColumn id="4" xr3:uid="{C6844D05-CB5E-47B1-912B-A0C3A0AF9605}" name=" PTS/POSS" dataDxfId="144"/>
    <tableColumn id="5" xr3:uid="{9C488588-92C1-4B70-A642-77B860D112EC}" name="AVG.REB" dataDxfId="143"/>
    <tableColumn id="6" xr3:uid="{E2AD8854-12D8-4305-AB3F-EA0C5E140060}" name=" AVG.TO" dataDxfId="142"/>
    <tableColumn id="7" xr3:uid="{E12F29AA-ABD2-4813-BC7C-23B21ECC9336}" name=" AVG. +/-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4ADDFBC-8B07-4DBF-B4A3-A7E2D210350E}" name="Resultado_lineup2" displayName="Resultado_lineup2" ref="R11:X12" totalsRowShown="0" headerRowDxfId="140" dataDxfId="139" tableBorderDxfId="138">
  <autoFilter ref="R11:X12" xr:uid="{B4ADDFBC-8B07-4DBF-B4A3-A7E2D210350E}"/>
  <tableColumns count="7">
    <tableColumn id="1" xr3:uid="{4ECEE01F-0A9D-4883-98C2-A42FF46D5031}" name="Line up 2" dataDxfId="137"/>
    <tableColumn id="2" xr3:uid="{2460BB93-83C9-4B41-B1B6-8910636D0703}" name=" PPG" dataDxfId="136"/>
    <tableColumn id="3" xr3:uid="{37D92847-B863-458F-8336-437F94F5441A}" name="TS%" dataDxfId="135"/>
    <tableColumn id="4" xr3:uid="{F6E8F71B-E6C7-465B-81E7-C4EB6C0B8336}" name=" PTS/POSS" dataDxfId="134"/>
    <tableColumn id="5" xr3:uid="{5F7FE4CE-428F-4701-A096-A6F5BDEC7791}" name="AVG.REB" dataDxfId="133"/>
    <tableColumn id="6" xr3:uid="{40215FE8-703C-4347-B5AF-187A42416E74}" name=" AVG.TO" dataDxfId="132"/>
    <tableColumn id="7" xr3:uid="{1C2F8B65-D084-4806-B348-1725B61A1E12}" name=" AVG. +/-" dataDxfId="1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F8065C-85F7-49A4-BF84-934FDEE1A2EF}" name="Resultado_lineup3" displayName="Resultado_lineup3" ref="R13:X14" totalsRowShown="0" headerRowDxfId="130" dataDxfId="129" tableBorderDxfId="128">
  <autoFilter ref="R13:X14" xr:uid="{B6F8065C-85F7-49A4-BF84-934FDEE1A2EF}"/>
  <tableColumns count="7">
    <tableColumn id="1" xr3:uid="{3EF8F206-4CB9-4552-BD3F-997E1CD06D63}" name="Line up 3" dataDxfId="127"/>
    <tableColumn id="2" xr3:uid="{4C382B44-48E7-4F79-821D-5040A03A8ED7}" name=" PPG" dataDxfId="126"/>
    <tableColumn id="3" xr3:uid="{446A14F2-2871-42D2-B832-14D97DF57816}" name="TS%" dataDxfId="125"/>
    <tableColumn id="4" xr3:uid="{39AAF503-CA5C-4955-8C0E-AE834A632CCE}" name=" PTS/POSS" dataDxfId="124"/>
    <tableColumn id="5" xr3:uid="{7E0FA895-687D-4583-8049-55C5F5F9D5E0}" name="AVG.REB" dataDxfId="123"/>
    <tableColumn id="6" xr3:uid="{130AAA97-2A64-4376-8237-3D4110994569}" name=" AVG.TO" dataDxfId="122"/>
    <tableColumn id="7" xr3:uid="{B0D23867-BA5C-488C-AEB1-763C873375C8}" name=" AVG. +/-" dataDxfId="1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DB4770-896D-4C51-BECD-486F6A0DF37A}" name="Resultado_lineup4" displayName="Resultado_lineup4" ref="R15:X16" totalsRowShown="0" headerRowDxfId="120" dataDxfId="119" tableBorderDxfId="118">
  <autoFilter ref="R15:X16" xr:uid="{A8DB4770-896D-4C51-BECD-486F6A0DF37A}"/>
  <tableColumns count="7">
    <tableColumn id="1" xr3:uid="{FCDCDAA6-B7EE-4062-9E0F-4611EEDA3C85}" name="Line up 4" dataDxfId="117"/>
    <tableColumn id="2" xr3:uid="{A5400D7B-6B36-4377-ADDE-9A778BD65376}" name=" PPG" dataDxfId="116"/>
    <tableColumn id="3" xr3:uid="{63FD57BD-B551-4E8C-B3CF-959FBE87ECEE}" name="TS%" dataDxfId="115"/>
    <tableColumn id="4" xr3:uid="{B924F94E-5C69-49B8-8AC8-D34FB1B3F236}" name=" PTS/POSS" dataDxfId="114"/>
    <tableColumn id="5" xr3:uid="{6002BB3F-6B75-479A-9E13-98C40B278F1E}" name="AVG.REB" dataDxfId="113"/>
    <tableColumn id="6" xr3:uid="{FDD2A2EC-E891-4C7E-8221-C6EACF81C9FC}" name=" AVG.TO" dataDxfId="112"/>
    <tableColumn id="7" xr3:uid="{E0F1E7E0-57F6-44B4-A5F1-EEB6A7501F08}" name=" AVG. +/-" dataDxfId="1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FC16EE-9F33-490D-AC90-B3A214D18B06}" name="Resultado_lineup5" displayName="Resultado_lineup5" ref="R17:X18" totalsRowShown="0" headerRowDxfId="110" dataDxfId="109" tableBorderDxfId="108">
  <autoFilter ref="R17:X18" xr:uid="{6EFC16EE-9F33-490D-AC90-B3A214D18B06}"/>
  <tableColumns count="7">
    <tableColumn id="1" xr3:uid="{A91A269C-B914-41F2-AFD2-76838C1913A7}" name="Line up 5" dataDxfId="107"/>
    <tableColumn id="2" xr3:uid="{03DCF7A9-AF1B-4F65-B448-C054C9835EAA}" name=" PPG" dataDxfId="106"/>
    <tableColumn id="3" xr3:uid="{7880089C-BF3F-452C-BB60-B383A4860D39}" name="TS%" dataDxfId="105"/>
    <tableColumn id="4" xr3:uid="{61698C5A-8F5A-4409-A6FC-63923BFC3607}" name=" PTS/POSS" dataDxfId="104"/>
    <tableColumn id="5" xr3:uid="{7DA3E55F-E896-44B4-B966-FD9BD582DEF2}" name="AVG.REB" dataDxfId="103"/>
    <tableColumn id="6" xr3:uid="{5E4E3845-8FCA-418A-8A48-A02124304290}" name=" AVG.TO" dataDxfId="102"/>
    <tableColumn id="7" xr3:uid="{3E6A8C4C-4736-4D42-94AC-DA5F50CADC78}" name=" AVG. +/-" dataDxfId="10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13E882-C490-490A-AA23-F960FC3ABC21}" name="Resultado_lineup6" displayName="Resultado_lineup6" ref="R19:X20" totalsRowShown="0" headerRowDxfId="100" dataDxfId="99" tableBorderDxfId="98">
  <autoFilter ref="R19:X20" xr:uid="{E713E882-C490-490A-AA23-F960FC3ABC21}"/>
  <tableColumns count="7">
    <tableColumn id="1" xr3:uid="{E86B5A64-F29A-415E-B78D-1C093F669DAD}" name="Line up 6" dataDxfId="97"/>
    <tableColumn id="2" xr3:uid="{3B34E3A8-B244-45AA-8A8F-27FC76B5BBA9}" name=" PPG" dataDxfId="96"/>
    <tableColumn id="3" xr3:uid="{DB881F6C-697C-42EA-B214-83FC81828B05}" name="TS%" dataDxfId="95"/>
    <tableColumn id="4" xr3:uid="{6387F3AE-7D62-468B-B042-3FE1B3436CDC}" name=" PTS/POSS" dataDxfId="94"/>
    <tableColumn id="5" xr3:uid="{C381ABAD-BE79-488A-92E2-4B21AFAE115E}" name="AVG.REB" dataDxfId="93"/>
    <tableColumn id="6" xr3:uid="{15A6A546-2490-4D32-B569-AD849674124F}" name=" AVG.TO" dataDxfId="92"/>
    <tableColumn id="7" xr3:uid="{07679498-AEF4-453B-A722-844E1B0369B5}" name=" AVG. +/-" dataDxfId="9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086F8-40C0-4854-B95C-9A5C7B1CC7C7}" name="MédiaVGBB25" displayName="MédiaVGBB25" ref="A1:AJ14" tableType="queryTable" totalsRowShown="0">
  <autoFilter ref="A1:AJ14" xr:uid="{3BF086F8-40C0-4854-B95C-9A5C7B1CC7C7}"/>
  <tableColumns count="36">
    <tableColumn id="1" xr3:uid="{B7D23525-A1F1-466B-B04C-848045275763}" uniqueName="1" name="Team" queryTableFieldId="1" dataDxfId="90"/>
    <tableColumn id="2" xr3:uid="{98E57A55-C4F6-4E71-8050-3B7EB787E7B5}" uniqueName="2" name="Player" queryTableFieldId="2" dataDxfId="89"/>
    <tableColumn id="3" xr3:uid="{E6151DED-B207-4FF0-85FC-876E374DDB89}" uniqueName="3" name="No." queryTableFieldId="3" dataDxfId="88"/>
    <tableColumn id="4" xr3:uid="{C06ACA67-A6A9-4C32-A93F-B6300E423035}" uniqueName="4" name="GP" queryTableFieldId="4" dataDxfId="87"/>
    <tableColumn id="5" xr3:uid="{8836AACD-5327-4C3B-AB8D-9AF32ADA7255}" uniqueName="5" name="PTS" queryTableFieldId="5"/>
    <tableColumn id="6" xr3:uid="{5141BF58-BED6-48CA-A024-564743E87806}" uniqueName="6" name="PPG" queryTableFieldId="6" dataDxfId="86"/>
    <tableColumn id="7" xr3:uid="{5BA0A352-0A89-42A7-B852-92F555F9BC07}" uniqueName="7" name="FG/FGA" queryTableFieldId="7" dataDxfId="85"/>
    <tableColumn id="8" xr3:uid="{164B1306-DB7E-4C0D-ADCE-0436F75C0EFA}" uniqueName="8" name="FGA" queryTableFieldId="8" dataDxfId="84"/>
    <tableColumn id="24" xr3:uid="{1D0D5407-6584-4F06-854B-6C475DD0CAB8}" uniqueName="24" name="FGM" queryTableFieldId="23" dataDxfId="83"/>
    <tableColumn id="25" xr3:uid="{F701D088-96AE-4CC5-A6AF-B04EFE20CAA0}" uniqueName="25" name="FG%" queryTableFieldId="24" dataCellStyle="Porcentagem">
      <calculatedColumnFormula>MédiaVGBB25[[#This Row],[FGM]]/MédiaVGBB25[[#This Row],[FGA]]</calculatedColumnFormula>
    </tableColumn>
    <tableColumn id="9" xr3:uid="{171E8B4E-D439-4D76-A0AD-D3F57A823ED9}" uniqueName="9" name="2P/2PA" queryTableFieldId="9" dataDxfId="82"/>
    <tableColumn id="10" xr3:uid="{B596F303-A18A-440D-83D5-F7B6508B0958}" uniqueName="10" name="2PA" queryTableFieldId="10" dataDxfId="81"/>
    <tableColumn id="26" xr3:uid="{FC8E4A63-0B6E-464A-B1A5-67F6674929CC}" uniqueName="26" name="2PM" queryTableFieldId="25" dataDxfId="80"/>
    <tableColumn id="27" xr3:uid="{941E551A-C25D-4029-9C9D-26E254F9CFEB}" uniqueName="27" name="2P%" queryTableFieldId="26" dataCellStyle="Porcentagem">
      <calculatedColumnFormula>MédiaVGBB25[[#This Row],[2PM]]/MédiaVGBB25[[#This Row],[2PA]]</calculatedColumnFormula>
    </tableColumn>
    <tableColumn id="11" xr3:uid="{ACD30101-032F-4B6D-977A-6AA996662A07}" uniqueName="11" name="3P/3PA" queryTableFieldId="11" dataDxfId="79"/>
    <tableColumn id="12" xr3:uid="{A6F9FDA1-A7B8-4AE2-95F6-8B8160296603}" uniqueName="12" name="3PA" queryTableFieldId="12" dataDxfId="78"/>
    <tableColumn id="28" xr3:uid="{776C49FC-A8A6-4E7C-87BE-3259C5BE498D}" uniqueName="28" name="3PTM" queryTableFieldId="27" dataDxfId="77"/>
    <tableColumn id="29" xr3:uid="{48C43360-4814-4ED5-86C1-ABCC286107E3}" uniqueName="29" name="3P%" queryTableFieldId="28" dataCellStyle="Porcentagem">
      <calculatedColumnFormula>MédiaVGBB25[[#This Row],[3PTM]]/MédiaVGBB25[[#This Row],[3PA]]</calculatedColumnFormula>
    </tableColumn>
    <tableColumn id="13" xr3:uid="{AAFD7810-5FE9-4641-9D1D-D291ADC13314}" uniqueName="13" name="FT/FTA" queryTableFieldId="13" dataDxfId="76"/>
    <tableColumn id="14" xr3:uid="{D3B33626-0D72-49C0-A6F2-E24C1275DE87}" uniqueName="14" name="FTA" queryTableFieldId="14" dataDxfId="75"/>
    <tableColumn id="30" xr3:uid="{D1D43943-E46B-4DDF-A08C-8EF7B4324CC2}" uniqueName="30" name="FTM" queryTableFieldId="29" dataDxfId="74"/>
    <tableColumn id="31" xr3:uid="{64595F95-55C0-462A-B7B9-3D31FB51A402}" uniqueName="31" name="FT%" queryTableFieldId="30" dataCellStyle="Porcentagem">
      <calculatedColumnFormula>MédiaVGBB25[[#This Row],[FTM]]/MédiaVGBB25[[#This Row],[FTA]]</calculatedColumnFormula>
    </tableColumn>
    <tableColumn id="15" xr3:uid="{95DAE8AC-DF62-4D95-AEA1-4A675567112C}" uniqueName="15" name="REB" queryTableFieldId="15"/>
    <tableColumn id="35" xr3:uid="{A9CEDC05-52C5-4800-8092-B697BC6F2592}" uniqueName="35" name="AVG.REB" queryTableFieldId="34" dataDxfId="73">
      <calculatedColumnFormula>MédiaVGBB25[[#This Row],[REB]]/MédiaVGBB25[[#This Row],[GP]]</calculatedColumnFormula>
    </tableColumn>
    <tableColumn id="16" xr3:uid="{636A5AAF-2379-4866-A508-1B6E259730E0}" uniqueName="16" name="OR" queryTableFieldId="16"/>
    <tableColumn id="17" xr3:uid="{06EFA1F3-1D07-439E-B3B6-78B8E462DAB9}" uniqueName="17" name="DR" queryTableFieldId="17"/>
    <tableColumn id="18" xr3:uid="{2A0E47DD-BF41-4A25-9EBC-66342B05C4D6}" uniqueName="18" name="AST" queryTableFieldId="18"/>
    <tableColumn id="19" xr3:uid="{83611F71-E70E-44CA-899C-683FFFEEE788}" uniqueName="19" name="STL" queryTableFieldId="19"/>
    <tableColumn id="20" xr3:uid="{ED4A86E9-A327-4F7B-A44E-E3BE4D09D207}" uniqueName="20" name="TO" queryTableFieldId="20"/>
    <tableColumn id="36" xr3:uid="{D14CCFD1-899D-43EF-9651-607B7F56ABA9}" uniqueName="36" name="AVG.TO" queryTableFieldId="35" dataDxfId="72">
      <calculatedColumnFormula>MédiaVGBB25[[#This Row],[TO]]/MédiaVGBB25[[#This Row],[GP]]</calculatedColumnFormula>
    </tableColumn>
    <tableColumn id="21" xr3:uid="{3D090507-1183-417D-8552-D60278C9477C}" uniqueName="21" name="EFF" queryTableFieldId="21"/>
    <tableColumn id="22" xr3:uid="{943B8752-60F6-4B9F-907B-5CEF2FB78DC3}" uniqueName="22" name="+ / -" queryTableFieldId="22"/>
    <tableColumn id="37" xr3:uid="{DF5A5EE9-1C53-44F0-91E8-AB0399584353}" uniqueName="37" name="AVG. Plus/minus" queryTableFieldId="36" dataDxfId="71">
      <calculatedColumnFormula>MédiaVGBB25[[#This Row],[+ / -]]/MédiaVGBB25[[#This Row],[GP]]</calculatedColumnFormula>
    </tableColumn>
    <tableColumn id="23" xr3:uid="{02D00502-AFA2-45B4-BF3C-F73FE2B06CFE}" uniqueName="23" name="TS%" queryTableFieldId="31" dataDxfId="70" dataCellStyle="Porcentagem">
      <calculatedColumnFormula>(MédiaVGBB25[[#This Row],[PPG]]/2)*((MédiaVGBB25[[#This Row],[FGA]]/MédiaVGBB25[[#This Row],[GP]])+((0.44)*(MédiaVGBB25[[#This Row],[FTA]]/MédiaVGBB25[[#This Row],[GP]])))</calculatedColumnFormula>
    </tableColumn>
    <tableColumn id="32" xr3:uid="{0CB3D8C1-1932-43E0-BD9A-0DE89C68C3C5}" uniqueName="32" name="ORTG" queryTableFieldId="32" dataDxfId="69">
      <calculatedColumnFormula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calculatedColumnFormula>
    </tableColumn>
    <tableColumn id="33" xr3:uid="{B97B1596-CCF9-411B-9891-2030541DBBA7}" uniqueName="33" name="PTS/POSS" queryTableFieldId="33" dataDxfId="68">
      <calculatedColumnFormula>MédiaVGBB25[[#This Row],[PTS]]/(MédiaVGBB25[[#This Row],[FGA]]+MédiaVGBB25[[#This Row],[TO]]-MédiaVGBB25[[#This Row],[OR]]+(0.44*MédiaVGBB25[[#This Row],[FTA]]))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3E43CA-CC56-4B61-AEBC-E82605203956}" name="Pontuação_MVP" displayName="Pontuação_MVP" ref="A12:B19" totalsRowShown="0">
  <autoFilter ref="A12:B19" xr:uid="{E43E43CA-CC56-4B61-AEBC-E82605203956}"/>
  <sortState xmlns:xlrd2="http://schemas.microsoft.com/office/spreadsheetml/2017/richdata2" ref="A13:B19">
    <sortCondition ref="B12:B19"/>
  </sortState>
  <tableColumns count="2">
    <tableColumn id="1" xr3:uid="{F2B07772-DA81-4074-9D82-5F411374D6F7}" name="Player" dataDxfId="63"/>
    <tableColumn id="2" xr3:uid="{3CACF0B7-574E-48A4-8FD1-00608FE4B823}" name="Pontuação MV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98C6CB-9BE2-4899-8490-741411D3EE73}" name="Jasmin_MVP_Totais" displayName="Jasmin_MVP_Totais" ref="D13:I14" totalsRowShown="0" headerRowDxfId="62" dataDxfId="60" headerRowBorderDxfId="61" tableBorderDxfId="59" totalsRowBorderDxfId="58">
  <autoFilter ref="D13:I14" xr:uid="{6B98C6CB-9BE2-4899-8490-741411D3EE73}"/>
  <tableColumns count="6">
    <tableColumn id="1" xr3:uid="{B4A083E0-4685-4B0A-A2ED-64E4C1E84BDA}" name="Player" dataDxfId="57"/>
    <tableColumn id="2" xr3:uid="{9085D485-186C-43F0-BC4F-A7E779B40D05}" name="No." dataDxfId="56"/>
    <tableColumn id="3" xr3:uid="{8E18FB00-1E6E-48FE-99F1-495492DA6B13}" name="PTS" dataDxfId="55"/>
    <tableColumn id="4" xr3:uid="{E264C997-E1DC-4690-82ED-F22642E5BB50}" name="REB" dataDxfId="54"/>
    <tableColumn id="5" xr3:uid="{1F907B57-76EA-4F56-9004-4DEF5BCF6812}" name="STL" dataDxfId="53"/>
    <tableColumn id="6" xr3:uid="{2835D7E6-E45B-4FFF-BABC-7E92182732FA}" name="ORTG" dataDxfId="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59B196-BD4B-435D-9BBE-1A661C88C41D}" name="MIP_Dados" displayName="MIP_Dados" ref="A1:I8" totalsRowShown="0" headerRowDxfId="51" headerRowBorderDxfId="50" tableBorderDxfId="49">
  <autoFilter ref="A1:I8" xr:uid="{4559B196-BD4B-435D-9BBE-1A661C88C41D}"/>
  <tableColumns count="9">
    <tableColumn id="2" xr3:uid="{FD9E59D0-E20D-40D8-8B4A-0DEBC629ECD5}" name="Player" dataDxfId="48"/>
    <tableColumn id="3" xr3:uid="{53598685-1556-4503-BAA4-FDADC17AB663}" name="No." dataDxfId="47"/>
    <tableColumn id="4" xr3:uid="{A6094600-9133-44D6-B308-D5491D22E085}" name="GP" dataDxfId="46"/>
    <tableColumn id="5" xr3:uid="{9B734320-7DB4-4050-92E6-6E639B65BF32}" name="PPG" dataDxfId="45">
      <calculatedColumnFormula>'Média VGBB25'!F3-Jogo_2[[#This Row],[PTS]]</calculatedColumnFormula>
    </tableColumn>
    <tableColumn id="6" xr3:uid="{C6294B1E-90D8-44B1-A426-78896204532B}" name="ΔREB" dataDxfId="44">
      <calculatedColumnFormula>('Média VGBB25'!W7/'Média VGBB25'!D7)-'Jogo 1'!Q4</calculatedColumnFormula>
    </tableColumn>
    <tableColumn id="7" xr3:uid="{5B471F6B-1F27-405B-B118-4F7E939B13A9}" name="AST/TO" dataDxfId="43">
      <calculatedColumnFormula>'Média VGBB25'!AA7/'Média VGBB25'!AC7</calculatedColumnFormula>
    </tableColumn>
    <tableColumn id="8" xr3:uid="{26735950-D993-4C2F-AAA6-46E908654C5F}" name="ΔEFF" dataDxfId="42">
      <calculatedColumnFormula>('Média VGBB25'!AE7/C2)-'Jogo 1'!W4</calculatedColumnFormula>
    </tableColumn>
    <tableColumn id="9" xr3:uid="{0BFB3146-4129-4B69-91A9-47CCB1ACAAFF}" name="ΔPlus/Minus" dataDxfId="41">
      <calculatedColumnFormula>('Média VGBB25'!AF7/C2)-'Jogo 1'!X4</calculatedColumnFormula>
    </tableColumn>
    <tableColumn id="10" xr3:uid="{1478FBCD-792D-4123-A2F7-6822672DCEF6}" name="Pontuação MIP" dataDxfId="40">
      <calculatedColumnFormula>SUM(MIP_Dados[[#This Row],[PPG]:[ΔPlus/Minus]])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3B777C-31B8-4CD7-8A85-EF5837F7F85E}" name="MIP_Manu" displayName="MIP_Manu" ref="A13:G14" totalsRowShown="0" headerRowDxfId="39" dataDxfId="37" headerRowBorderDxfId="38">
  <autoFilter ref="A13:G14" xr:uid="{A03B777C-31B8-4CD7-8A85-EF5837F7F85E}"/>
  <tableColumns count="7">
    <tableColumn id="1" xr3:uid="{9BB746AF-D343-48E0-A76A-532689C22EA9}" name="Rótulos de Linha" dataDxfId="36"/>
    <tableColumn id="2" xr3:uid="{88B51C39-9643-4866-8F33-7555F51B64B8}" name="Soma de ΔPPG" dataDxfId="35"/>
    <tableColumn id="3" xr3:uid="{B966DA6A-1791-4C9A-B05A-647B639C6794}" name="Soma de ΔREB" dataDxfId="34"/>
    <tableColumn id="4" xr3:uid="{4398A917-FC63-4500-900A-F242E961FEDB}" name="Soma de AST/TO" dataDxfId="33"/>
    <tableColumn id="5" xr3:uid="{AB0C6692-AD99-40EB-B7CE-7D85E037B358}" name="Soma de ΔEFF" dataDxfId="32"/>
    <tableColumn id="6" xr3:uid="{98955BA1-636C-4C41-AA69-9C0F18E9D2BC}" name="Soma de Δ+ / -" dataDxfId="31"/>
    <tableColumn id="7" xr3:uid="{20116014-63B5-467D-8737-D9B020D7FCBC}" name="Soma de Pontuação MIP" dataDxfId="3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6446AB-E718-4966-83F7-B4A26D48B432}" name="MIP_Isa_2" displayName="MIP_Isa_2" ref="A17:G18" totalsRowShown="0" headerRowDxfId="29" headerRowBorderDxfId="28">
  <autoFilter ref="A17:G18" xr:uid="{AD6446AB-E718-4966-83F7-B4A26D48B432}"/>
  <tableColumns count="7">
    <tableColumn id="1" xr3:uid="{464EACAF-3BD8-42A7-B580-2DBE23FE59DB}" name="Rótulos de Linha" dataDxfId="27"/>
    <tableColumn id="2" xr3:uid="{FB97AA4A-00EB-49DA-A0AD-BADE69B11FBB}" name="Soma de ΔPPG" dataDxfId="26"/>
    <tableColumn id="3" xr3:uid="{3B99648F-4A26-4C3A-85AB-2B43704D501E}" name="Soma de ΔREB" dataDxfId="25"/>
    <tableColumn id="4" xr3:uid="{5B74F77D-FFBC-4A66-8D93-CD8852904F20}" name="Soma de AST/TO" dataDxfId="24"/>
    <tableColumn id="5" xr3:uid="{CBADF38A-7C8B-4760-8025-39D3216036A3}" name="Soma de ΔEFF" dataDxfId="23"/>
    <tableColumn id="6" xr3:uid="{D27B6490-456E-4FCA-BE87-4631D248FA19}" name="Soma de Δ+ / -" dataDxfId="22"/>
    <tableColumn id="7" xr3:uid="{E82236CD-8ADF-44CF-8DF7-04F7A2088C73}" name="Soma de Pontuação MIP" dataDxfId="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AF6EEF-36C6-4B00-936B-37F24905EA2D}" name="MIP_Laura_3" displayName="MIP_Laura_3" ref="A20:G21" totalsRowShown="0" headerRowDxfId="20" dataDxfId="18" headerRowBorderDxfId="19">
  <autoFilter ref="A20:G21" xr:uid="{A9AF6EEF-36C6-4B00-936B-37F24905EA2D}"/>
  <tableColumns count="7">
    <tableColumn id="1" xr3:uid="{B2BEA36A-BBDF-4205-B604-1FFBA3D00BF4}" name="Rótulos de Linha" dataDxfId="17"/>
    <tableColumn id="2" xr3:uid="{4DF60B67-2BB9-4009-8879-26425F757595}" name="Soma de ΔPPG" dataDxfId="16"/>
    <tableColumn id="3" xr3:uid="{2AB2D460-E631-4AB1-85AF-6FE54DB03B06}" name="Soma de ΔREB" dataDxfId="15"/>
    <tableColumn id="4" xr3:uid="{32579CF9-9D09-4D7E-97A5-FC1F2A9CF6D8}" name="Soma de AST/TO" dataDxfId="14"/>
    <tableColumn id="5" xr3:uid="{F0C25102-C684-49FB-855E-35C90234F355}" name="Soma de ΔEFF" dataDxfId="13"/>
    <tableColumn id="6" xr3:uid="{3D570D28-287C-41D9-BE7C-DEF9FEE18EEC}" name="Soma de Δ+ / -" dataDxfId="12"/>
    <tableColumn id="7" xr3:uid="{2A292AA5-4174-4035-B8E1-37CDF79C426D}" name="Soma de Pontuação MIP" dataDxfId="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8E799B-7062-4955-8B4C-22A302C7F470}" name="Manu_Totais_MIP" displayName="Manu_Totais_MIP" ref="A24:F25" totalsRowShown="0" headerRowDxfId="10" dataDxfId="8" headerRowBorderDxfId="9" tableBorderDxfId="7" totalsRowBorderDxfId="6">
  <autoFilter ref="A24:F25" xr:uid="{CD8E799B-7062-4955-8B4C-22A302C7F470}"/>
  <tableColumns count="6">
    <tableColumn id="1" xr3:uid="{E9370387-FFAD-4F96-B753-FCCAF9C4CEB1}" name="Player" dataDxfId="5"/>
    <tableColumn id="2" xr3:uid="{4E86843D-7793-418A-9530-F640EFA23558}" name="No." dataDxfId="4"/>
    <tableColumn id="3" xr3:uid="{A445AD62-896B-4133-A094-0C3C7E252EF6}" name="PTS" dataDxfId="3"/>
    <tableColumn id="4" xr3:uid="{0F7054C2-B619-41FF-8ABA-4784DA020FE2}" name="REB" dataDxfId="2"/>
    <tableColumn id="5" xr3:uid="{2633FB72-81AE-419B-B0F7-72701EE507A4}" name="AST" dataDxfId="1"/>
    <tableColumn id="6" xr3:uid="{255160B2-59F8-4320-9280-329B8577C91A}" name="ST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AB">
      <a:dk1>
        <a:sysClr val="windowText" lastClr="000000"/>
      </a:dk1>
      <a:lt1>
        <a:sysClr val="window" lastClr="FFFFFF"/>
      </a:lt1>
      <a:dk2>
        <a:srgbClr val="323232"/>
      </a:dk2>
      <a:lt2>
        <a:srgbClr val="A5300F"/>
      </a:lt2>
      <a:accent1>
        <a:srgbClr val="A5300F"/>
      </a:accent1>
      <a:accent2>
        <a:srgbClr val="7F7F7F"/>
      </a:accent2>
      <a:accent3>
        <a:srgbClr val="F02020"/>
      </a:accent3>
      <a:accent4>
        <a:srgbClr val="464646"/>
      </a:accent4>
      <a:accent5>
        <a:srgbClr val="FFFFFF"/>
      </a:accent5>
      <a:accent6>
        <a:srgbClr val="656565"/>
      </a:accent6>
      <a:hlink>
        <a:srgbClr val="A5A5A5"/>
      </a:hlink>
      <a:folHlink>
        <a:srgbClr val="A5A5A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12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A63B-E23A-4F85-8A31-F29FBA114727}">
  <dimension ref="A1:X14"/>
  <sheetViews>
    <sheetView workbookViewId="0">
      <selection activeCell="N22" sqref="N22"/>
    </sheetView>
  </sheetViews>
  <sheetFormatPr defaultRowHeight="14.4" x14ac:dyDescent="0.3"/>
  <cols>
    <col min="1" max="1" width="12.33203125" bestFit="1" customWidth="1"/>
    <col min="2" max="2" width="12" bestFit="1" customWidth="1"/>
    <col min="3" max="3" width="6.109375" bestFit="1" customWidth="1"/>
    <col min="4" max="4" width="6.33203125" bestFit="1" customWidth="1"/>
    <col min="5" max="5" width="5.5546875" bestFit="1" customWidth="1"/>
    <col min="6" max="6" width="6.6640625" bestFit="1" customWidth="1"/>
    <col min="7" max="7" width="7.109375" bestFit="1" customWidth="1"/>
    <col min="8" max="8" width="5.33203125" bestFit="1" customWidth="1"/>
    <col min="9" max="9" width="6.44140625" bestFit="1" customWidth="1"/>
    <col min="10" max="10" width="7.109375" bestFit="1" customWidth="1"/>
    <col min="11" max="11" width="5.33203125" bestFit="1" customWidth="1"/>
    <col min="12" max="12" width="6.44140625" bestFit="1" customWidth="1"/>
    <col min="13" max="13" width="7.109375" bestFit="1" customWidth="1"/>
    <col min="14" max="14" width="5.109375" bestFit="1" customWidth="1"/>
    <col min="15" max="15" width="6.21875" bestFit="1" customWidth="1"/>
    <col min="16" max="16" width="7.109375" bestFit="1" customWidth="1"/>
    <col min="17" max="17" width="6.44140625" bestFit="1" customWidth="1"/>
    <col min="18" max="18" width="5.6640625" bestFit="1" customWidth="1"/>
    <col min="19" max="19" width="5.5546875" bestFit="1" customWidth="1"/>
    <col min="20" max="20" width="6.33203125" bestFit="1" customWidth="1"/>
    <col min="21" max="21" width="6.109375" bestFit="1" customWidth="1"/>
    <col min="22" max="22" width="5.44140625" bestFit="1" customWidth="1"/>
    <col min="23" max="24" width="6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4</v>
      </c>
      <c r="E1" t="s">
        <v>119</v>
      </c>
      <c r="F1" t="s">
        <v>7</v>
      </c>
      <c r="G1" t="s">
        <v>112</v>
      </c>
      <c r="H1" t="s">
        <v>120</v>
      </c>
      <c r="I1" t="s">
        <v>9</v>
      </c>
      <c r="J1" t="s">
        <v>114</v>
      </c>
      <c r="K1" t="s">
        <v>121</v>
      </c>
      <c r="L1" t="s">
        <v>11</v>
      </c>
      <c r="M1" t="s">
        <v>116</v>
      </c>
      <c r="N1" t="s">
        <v>122</v>
      </c>
      <c r="O1" t="s">
        <v>13</v>
      </c>
      <c r="P1" t="s">
        <v>118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3">
      <c r="A2" t="s">
        <v>22</v>
      </c>
      <c r="B2" t="s">
        <v>37</v>
      </c>
      <c r="C2" t="s">
        <v>29</v>
      </c>
      <c r="D2">
        <v>0</v>
      </c>
      <c r="E2">
        <v>0</v>
      </c>
      <c r="F2">
        <v>0</v>
      </c>
      <c r="G2" s="1" t="e">
        <f>Jogo_2[[#This Row],[FG]]/Jogo_2[[#This Row],[FGA]]</f>
        <v>#DIV/0!</v>
      </c>
      <c r="H2">
        <v>0</v>
      </c>
      <c r="I2">
        <v>0</v>
      </c>
      <c r="J2" s="1" t="e">
        <f>Jogo_2[[#This Row],[2P]]/Jogo_2[[#This Row],[2PA]]</f>
        <v>#DIV/0!</v>
      </c>
      <c r="K2">
        <v>0</v>
      </c>
      <c r="L2">
        <v>0</v>
      </c>
      <c r="M2" s="1" t="e">
        <f>Jogo_2[[#This Row],[3P]]/Jogo_2[[#This Row],[3PA]]</f>
        <v>#DIV/0!</v>
      </c>
      <c r="N2">
        <v>0</v>
      </c>
      <c r="O2">
        <v>0</v>
      </c>
      <c r="P2" s="1" t="e">
        <f>Jogo_2[[#This Row],[FT]]/Jogo_2[[#This Row],[FTA]]</f>
        <v>#DIV/0!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-2</v>
      </c>
    </row>
    <row r="3" spans="1:24" x14ac:dyDescent="0.3">
      <c r="A3" t="s">
        <v>22</v>
      </c>
      <c r="B3" t="s">
        <v>47</v>
      </c>
      <c r="C3" t="s">
        <v>43</v>
      </c>
      <c r="D3">
        <v>1</v>
      </c>
      <c r="E3">
        <v>0</v>
      </c>
      <c r="F3">
        <v>9</v>
      </c>
      <c r="G3" s="1">
        <f>Jogo_2[[#This Row],[FG]]/Jogo_2[[#This Row],[FGA]]</f>
        <v>0</v>
      </c>
      <c r="H3">
        <v>0</v>
      </c>
      <c r="I3">
        <v>7</v>
      </c>
      <c r="J3" s="1">
        <f>Jogo_2[[#This Row],[2P]]/Jogo_2[[#This Row],[2PA]]</f>
        <v>0</v>
      </c>
      <c r="K3">
        <v>0</v>
      </c>
      <c r="L3">
        <v>2</v>
      </c>
      <c r="M3" s="1">
        <f>Jogo_2[[#This Row],[3P]]/Jogo_2[[#This Row],[3PA]]</f>
        <v>0</v>
      </c>
      <c r="N3">
        <v>1</v>
      </c>
      <c r="O3">
        <v>2</v>
      </c>
      <c r="P3" s="1">
        <f>Jogo_2[[#This Row],[FT]]/Jogo_2[[#This Row],[FTA]]</f>
        <v>0.5</v>
      </c>
      <c r="Q3">
        <v>1</v>
      </c>
      <c r="R3">
        <v>0</v>
      </c>
      <c r="S3">
        <v>1</v>
      </c>
      <c r="T3">
        <v>3</v>
      </c>
      <c r="U3">
        <v>3</v>
      </c>
      <c r="V3">
        <v>3</v>
      </c>
      <c r="W3">
        <v>-5</v>
      </c>
      <c r="X3">
        <v>-3</v>
      </c>
    </row>
    <row r="4" spans="1:24" x14ac:dyDescent="0.3">
      <c r="A4" t="s">
        <v>22</v>
      </c>
      <c r="B4" t="s">
        <v>55</v>
      </c>
      <c r="C4" t="s">
        <v>56</v>
      </c>
      <c r="D4">
        <v>10</v>
      </c>
      <c r="E4">
        <v>5</v>
      </c>
      <c r="F4">
        <v>12</v>
      </c>
      <c r="G4" s="1">
        <f>Jogo_2[[#This Row],[FG]]/Jogo_2[[#This Row],[FGA]]</f>
        <v>0.41666666666666669</v>
      </c>
      <c r="H4">
        <v>5</v>
      </c>
      <c r="I4">
        <v>11</v>
      </c>
      <c r="J4" s="1">
        <f>Jogo_2[[#This Row],[2P]]/Jogo_2[[#This Row],[2PA]]</f>
        <v>0.45454545454545453</v>
      </c>
      <c r="K4">
        <v>0</v>
      </c>
      <c r="L4">
        <v>1</v>
      </c>
      <c r="M4" s="1">
        <f>Jogo_2[[#This Row],[3P]]/Jogo_2[[#This Row],[3PA]]</f>
        <v>0</v>
      </c>
      <c r="N4">
        <v>0</v>
      </c>
      <c r="O4">
        <v>3</v>
      </c>
      <c r="P4" s="1">
        <f>Jogo_2[[#This Row],[FT]]/Jogo_2[[#This Row],[FTA]]</f>
        <v>0</v>
      </c>
      <c r="Q4">
        <v>11</v>
      </c>
      <c r="R4">
        <v>3</v>
      </c>
      <c r="S4">
        <v>8</v>
      </c>
      <c r="T4">
        <v>1</v>
      </c>
      <c r="U4">
        <v>1</v>
      </c>
      <c r="V4">
        <v>4</v>
      </c>
      <c r="W4">
        <v>8</v>
      </c>
      <c r="X4">
        <v>-5</v>
      </c>
    </row>
    <row r="5" spans="1:24" x14ac:dyDescent="0.3">
      <c r="A5" t="s">
        <v>22</v>
      </c>
      <c r="B5" t="s">
        <v>65</v>
      </c>
      <c r="C5" t="s">
        <v>27</v>
      </c>
      <c r="D5">
        <v>0</v>
      </c>
      <c r="E5">
        <v>0</v>
      </c>
      <c r="F5">
        <v>0</v>
      </c>
      <c r="G5" s="1" t="e">
        <f>Jogo_2[[#This Row],[FG]]/Jogo_2[[#This Row],[FGA]]</f>
        <v>#DIV/0!</v>
      </c>
      <c r="H5">
        <v>0</v>
      </c>
      <c r="I5">
        <v>0</v>
      </c>
      <c r="J5" s="1" t="e">
        <f>Jogo_2[[#This Row],[2P]]/Jogo_2[[#This Row],[2PA]]</f>
        <v>#DIV/0!</v>
      </c>
      <c r="K5">
        <v>0</v>
      </c>
      <c r="L5">
        <v>0</v>
      </c>
      <c r="M5" s="1" t="e">
        <f>Jogo_2[[#This Row],[3P]]/Jogo_2[[#This Row],[3PA]]</f>
        <v>#DIV/0!</v>
      </c>
      <c r="N5">
        <v>0</v>
      </c>
      <c r="O5">
        <v>0</v>
      </c>
      <c r="P5" s="1" t="e">
        <f>Jogo_2[[#This Row],[FT]]/Jogo_2[[#This Row],[FTA]]</f>
        <v>#DIV/0!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22</v>
      </c>
      <c r="B6" t="s">
        <v>66</v>
      </c>
      <c r="C6" t="s">
        <v>53</v>
      </c>
      <c r="D6">
        <v>2</v>
      </c>
      <c r="E6">
        <v>1</v>
      </c>
      <c r="F6">
        <v>10</v>
      </c>
      <c r="G6" s="1">
        <f>Jogo_2[[#This Row],[FG]]/Jogo_2[[#This Row],[FGA]]</f>
        <v>0.1</v>
      </c>
      <c r="H6">
        <v>1</v>
      </c>
      <c r="I6">
        <v>5</v>
      </c>
      <c r="J6" s="1">
        <f>Jogo_2[[#This Row],[2P]]/Jogo_2[[#This Row],[2PA]]</f>
        <v>0.2</v>
      </c>
      <c r="K6">
        <v>0</v>
      </c>
      <c r="L6">
        <v>5</v>
      </c>
      <c r="M6" s="1">
        <f>Jogo_2[[#This Row],[3P]]/Jogo_2[[#This Row],[3PA]]</f>
        <v>0</v>
      </c>
      <c r="N6">
        <v>0</v>
      </c>
      <c r="O6">
        <v>0</v>
      </c>
      <c r="P6" s="1" t="e">
        <f>Jogo_2[[#This Row],[FT]]/Jogo_2[[#This Row],[FTA]]</f>
        <v>#DIV/0!</v>
      </c>
      <c r="Q6">
        <v>1</v>
      </c>
      <c r="R6">
        <v>0</v>
      </c>
      <c r="S6">
        <v>1</v>
      </c>
      <c r="T6">
        <v>0</v>
      </c>
      <c r="U6">
        <v>1</v>
      </c>
      <c r="V6">
        <v>1</v>
      </c>
      <c r="W6">
        <v>-8</v>
      </c>
      <c r="X6">
        <v>-3</v>
      </c>
    </row>
    <row r="7" spans="1:24" x14ac:dyDescent="0.3">
      <c r="A7" t="s">
        <v>22</v>
      </c>
      <c r="B7" t="s">
        <v>72</v>
      </c>
      <c r="C7" t="s">
        <v>39</v>
      </c>
      <c r="D7">
        <v>0</v>
      </c>
      <c r="E7">
        <v>0</v>
      </c>
      <c r="F7">
        <v>0</v>
      </c>
      <c r="G7" s="1" t="e">
        <f>Jogo_2[[#This Row],[FG]]/Jogo_2[[#This Row],[FGA]]</f>
        <v>#DIV/0!</v>
      </c>
      <c r="H7">
        <v>0</v>
      </c>
      <c r="I7">
        <v>0</v>
      </c>
      <c r="J7" s="1" t="e">
        <f>Jogo_2[[#This Row],[2P]]/Jogo_2[[#This Row],[2PA]]</f>
        <v>#DIV/0!</v>
      </c>
      <c r="K7">
        <v>0</v>
      </c>
      <c r="L7">
        <v>0</v>
      </c>
      <c r="M7" s="1" t="e">
        <f>Jogo_2[[#This Row],[3P]]/Jogo_2[[#This Row],[3PA]]</f>
        <v>#DIV/0!</v>
      </c>
      <c r="N7">
        <v>0</v>
      </c>
      <c r="O7">
        <v>0</v>
      </c>
      <c r="P7" s="1" t="e">
        <f>Jogo_2[[#This Row],[FT]]/Jogo_2[[#This Row],[FTA]]</f>
        <v>#DIV/0!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-4</v>
      </c>
    </row>
    <row r="8" spans="1:24" x14ac:dyDescent="0.3">
      <c r="A8" t="s">
        <v>22</v>
      </c>
      <c r="B8" t="s">
        <v>81</v>
      </c>
      <c r="C8" t="s">
        <v>82</v>
      </c>
      <c r="D8">
        <v>2</v>
      </c>
      <c r="E8">
        <v>1</v>
      </c>
      <c r="F8">
        <v>3</v>
      </c>
      <c r="G8" s="1">
        <f>Jogo_2[[#This Row],[FG]]/Jogo_2[[#This Row],[FGA]]</f>
        <v>0.33333333333333331</v>
      </c>
      <c r="H8">
        <v>1</v>
      </c>
      <c r="I8">
        <v>1</v>
      </c>
      <c r="J8" s="1">
        <f>Jogo_2[[#This Row],[2P]]/Jogo_2[[#This Row],[2PA]]</f>
        <v>1</v>
      </c>
      <c r="K8">
        <v>0</v>
      </c>
      <c r="L8">
        <v>2</v>
      </c>
      <c r="M8" s="1">
        <f>Jogo_2[[#This Row],[3P]]/Jogo_2[[#This Row],[3PA]]</f>
        <v>0</v>
      </c>
      <c r="N8">
        <v>0</v>
      </c>
      <c r="O8">
        <v>0</v>
      </c>
      <c r="P8" s="1" t="e">
        <f>Jogo_2[[#This Row],[FT]]/Jogo_2[[#This Row],[FTA]]</f>
        <v>#DIV/0!</v>
      </c>
      <c r="Q8">
        <v>3</v>
      </c>
      <c r="R8">
        <v>1</v>
      </c>
      <c r="S8">
        <v>2</v>
      </c>
      <c r="T8">
        <v>0</v>
      </c>
      <c r="U8">
        <v>2</v>
      </c>
      <c r="V8">
        <v>8</v>
      </c>
      <c r="W8">
        <v>-4</v>
      </c>
      <c r="X8">
        <v>1</v>
      </c>
    </row>
    <row r="9" spans="1:24" x14ac:dyDescent="0.3">
      <c r="A9" t="s">
        <v>22</v>
      </c>
      <c r="B9" t="s">
        <v>89</v>
      </c>
      <c r="C9" t="s">
        <v>90</v>
      </c>
      <c r="D9">
        <v>0</v>
      </c>
      <c r="E9">
        <v>0</v>
      </c>
      <c r="F9">
        <v>1</v>
      </c>
      <c r="G9" s="1">
        <f>Jogo_2[[#This Row],[FG]]/Jogo_2[[#This Row],[FGA]]</f>
        <v>0</v>
      </c>
      <c r="H9">
        <v>0</v>
      </c>
      <c r="I9">
        <v>0</v>
      </c>
      <c r="J9" s="1" t="e">
        <f>Jogo_2[[#This Row],[2P]]/Jogo_2[[#This Row],[2PA]]</f>
        <v>#DIV/0!</v>
      </c>
      <c r="K9">
        <v>0</v>
      </c>
      <c r="L9">
        <v>1</v>
      </c>
      <c r="M9" s="1">
        <f>Jogo_2[[#This Row],[3P]]/Jogo_2[[#This Row],[3PA]]</f>
        <v>0</v>
      </c>
      <c r="N9">
        <v>0</v>
      </c>
      <c r="O9">
        <v>0</v>
      </c>
      <c r="P9" s="1" t="e">
        <f>Jogo_2[[#This Row],[FT]]/Jogo_2[[#This Row],[FTA]]</f>
        <v>#DIV/0!</v>
      </c>
      <c r="Q9">
        <v>1</v>
      </c>
      <c r="R9">
        <v>0</v>
      </c>
      <c r="S9">
        <v>1</v>
      </c>
      <c r="T9">
        <v>0</v>
      </c>
      <c r="U9">
        <v>1</v>
      </c>
      <c r="V9">
        <v>3</v>
      </c>
      <c r="W9">
        <v>-2</v>
      </c>
      <c r="X9">
        <v>-6</v>
      </c>
    </row>
    <row r="10" spans="1:24" x14ac:dyDescent="0.3">
      <c r="A10" t="s">
        <v>22</v>
      </c>
      <c r="B10" t="s">
        <v>95</v>
      </c>
      <c r="C10" t="s">
        <v>96</v>
      </c>
      <c r="D10">
        <v>0</v>
      </c>
      <c r="E10">
        <v>0</v>
      </c>
      <c r="F10">
        <v>1</v>
      </c>
      <c r="G10" s="1">
        <f>Jogo_2[[#This Row],[FG]]/Jogo_2[[#This Row],[FGA]]</f>
        <v>0</v>
      </c>
      <c r="H10">
        <v>0</v>
      </c>
      <c r="I10">
        <v>1</v>
      </c>
      <c r="J10" s="1">
        <f>Jogo_2[[#This Row],[2P]]/Jogo_2[[#This Row],[2PA]]</f>
        <v>0</v>
      </c>
      <c r="K10">
        <v>0</v>
      </c>
      <c r="L10">
        <v>0</v>
      </c>
      <c r="M10" s="1" t="e">
        <f>Jogo_2[[#This Row],[3P]]/Jogo_2[[#This Row],[3PA]]</f>
        <v>#DIV/0!</v>
      </c>
      <c r="N10">
        <v>0</v>
      </c>
      <c r="O10">
        <v>0</v>
      </c>
      <c r="P10" s="1" t="e">
        <f>Jogo_2[[#This Row],[FT]]/Jogo_2[[#This Row],[FTA]]</f>
        <v>#DIV/0!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-1</v>
      </c>
      <c r="X10">
        <v>-3</v>
      </c>
    </row>
    <row r="11" spans="1:24" x14ac:dyDescent="0.3">
      <c r="A11" t="s">
        <v>22</v>
      </c>
      <c r="B11" t="s">
        <v>101</v>
      </c>
      <c r="C11" t="s">
        <v>102</v>
      </c>
      <c r="D11">
        <v>15</v>
      </c>
      <c r="E11">
        <v>7</v>
      </c>
      <c r="F11">
        <v>36</v>
      </c>
      <c r="G11" s="1">
        <f>Jogo_2[[#This Row],[FG]]/Jogo_2[[#This Row],[FGA]]</f>
        <v>0.19444444444444445</v>
      </c>
      <c r="H11">
        <v>7</v>
      </c>
      <c r="I11">
        <v>25</v>
      </c>
      <c r="J11" s="1">
        <f>Jogo_2[[#This Row],[2P]]/Jogo_2[[#This Row],[2PA]]</f>
        <v>0.28000000000000003</v>
      </c>
      <c r="K11">
        <v>0</v>
      </c>
      <c r="L11">
        <v>11</v>
      </c>
      <c r="M11" s="1">
        <f>Jogo_2[[#This Row],[3P]]/Jogo_2[[#This Row],[3PA]]</f>
        <v>0</v>
      </c>
      <c r="N11">
        <v>1</v>
      </c>
      <c r="O11">
        <v>5</v>
      </c>
      <c r="P11" s="1">
        <f>Jogo_2[[#This Row],[FT]]/Jogo_2[[#This Row],[FTA]]</f>
        <v>0.2</v>
      </c>
      <c r="Q11">
        <v>18</v>
      </c>
      <c r="R11">
        <v>4</v>
      </c>
      <c r="S11">
        <v>14</v>
      </c>
      <c r="T11">
        <v>5</v>
      </c>
      <c r="U11">
        <v>9</v>
      </c>
      <c r="V11">
        <v>22</v>
      </c>
      <c r="W11">
        <v>-12</v>
      </c>
      <c r="X11">
        <v>-25</v>
      </c>
    </row>
    <row r="12" spans="1:24" x14ac:dyDescent="0.3">
      <c r="A12" t="s">
        <v>128</v>
      </c>
      <c r="B12" t="s">
        <v>0</v>
      </c>
      <c r="C12" t="s">
        <v>102</v>
      </c>
      <c r="D12">
        <v>20</v>
      </c>
      <c r="E12">
        <v>9</v>
      </c>
      <c r="F12">
        <v>53</v>
      </c>
      <c r="G12" s="1">
        <f>Jogo_2[[#This Row],[FG]]/Jogo_2[[#This Row],[FGA]]</f>
        <v>0.16981132075471697</v>
      </c>
      <c r="H12">
        <v>9</v>
      </c>
      <c r="I12">
        <v>39</v>
      </c>
      <c r="J12" s="1">
        <f>Jogo_2[[#This Row],[2P]]/Jogo_2[[#This Row],[2PA]]</f>
        <v>0.23076923076923078</v>
      </c>
      <c r="K12">
        <v>0</v>
      </c>
      <c r="L12">
        <v>14</v>
      </c>
      <c r="M12" s="1">
        <f>Jogo_2[[#This Row],[3P]]/Jogo_2[[#This Row],[3PA]]</f>
        <v>0</v>
      </c>
      <c r="N12">
        <v>2</v>
      </c>
      <c r="O12">
        <v>7</v>
      </c>
      <c r="P12" s="1">
        <f>Jogo_2[[#This Row],[FT]]/Jogo_2[[#This Row],[FTA]]</f>
        <v>0.2857142857142857</v>
      </c>
      <c r="Q12">
        <v>38</v>
      </c>
      <c r="R12">
        <v>22</v>
      </c>
      <c r="S12">
        <v>16</v>
      </c>
      <c r="T12">
        <v>0</v>
      </c>
      <c r="U12">
        <v>0</v>
      </c>
      <c r="V12">
        <v>23</v>
      </c>
      <c r="W12">
        <v>-14</v>
      </c>
      <c r="X12">
        <v>5</v>
      </c>
    </row>
    <row r="13" spans="1:24" x14ac:dyDescent="0.3">
      <c r="A13" t="s">
        <v>128</v>
      </c>
      <c r="B13" t="s">
        <v>101</v>
      </c>
      <c r="C13" t="s">
        <v>102</v>
      </c>
      <c r="D13">
        <v>20</v>
      </c>
      <c r="E13">
        <v>9</v>
      </c>
      <c r="F13">
        <v>53</v>
      </c>
      <c r="G13" s="1">
        <f>Jogo_2[[#This Row],[FG]]/Jogo_2[[#This Row],[FGA]]</f>
        <v>0.16981132075471697</v>
      </c>
      <c r="H13">
        <v>9</v>
      </c>
      <c r="I13">
        <v>39</v>
      </c>
      <c r="J13" s="1">
        <f>Jogo_2[[#This Row],[2P]]/Jogo_2[[#This Row],[2PA]]</f>
        <v>0.23076923076923078</v>
      </c>
      <c r="K13">
        <v>0</v>
      </c>
      <c r="L13">
        <v>14</v>
      </c>
      <c r="M13" s="1">
        <f>Jogo_2[[#This Row],[3P]]/Jogo_2[[#This Row],[3PA]]</f>
        <v>0</v>
      </c>
      <c r="N13">
        <v>2</v>
      </c>
      <c r="O13">
        <v>7</v>
      </c>
      <c r="P13" s="1">
        <f>Jogo_2[[#This Row],[FT]]/Jogo_2[[#This Row],[FTA]]</f>
        <v>0.2857142857142857</v>
      </c>
      <c r="Q13">
        <v>38</v>
      </c>
      <c r="R13">
        <v>22</v>
      </c>
      <c r="S13">
        <v>16</v>
      </c>
      <c r="T13">
        <v>0</v>
      </c>
      <c r="U13">
        <v>0</v>
      </c>
      <c r="V13">
        <v>23</v>
      </c>
      <c r="W13">
        <v>-14</v>
      </c>
      <c r="X13">
        <v>5</v>
      </c>
    </row>
    <row r="14" spans="1:24" x14ac:dyDescent="0.3">
      <c r="A14" t="s">
        <v>101</v>
      </c>
      <c r="B14" t="s">
        <v>101</v>
      </c>
      <c r="C14" t="s">
        <v>102</v>
      </c>
      <c r="D14">
        <v>35</v>
      </c>
      <c r="E14">
        <v>16</v>
      </c>
      <c r="F14">
        <v>89</v>
      </c>
      <c r="G14" s="1">
        <f>Jogo_2[[#This Row],[FG]]/Jogo_2[[#This Row],[FGA]]</f>
        <v>0.1797752808988764</v>
      </c>
      <c r="H14">
        <v>16</v>
      </c>
      <c r="I14">
        <v>64</v>
      </c>
      <c r="J14" s="1">
        <f>Jogo_2[[#This Row],[2P]]/Jogo_2[[#This Row],[2PA]]</f>
        <v>0.25</v>
      </c>
      <c r="K14">
        <v>0</v>
      </c>
      <c r="L14">
        <v>25</v>
      </c>
      <c r="M14" s="1">
        <f>Jogo_2[[#This Row],[3P]]/Jogo_2[[#This Row],[3PA]]</f>
        <v>0</v>
      </c>
      <c r="N14">
        <v>3</v>
      </c>
      <c r="O14">
        <v>12</v>
      </c>
      <c r="P14" s="1">
        <f>Jogo_2[[#This Row],[FT]]/Jogo_2[[#This Row],[FTA]]</f>
        <v>0.25</v>
      </c>
      <c r="Q14">
        <v>56</v>
      </c>
      <c r="R14">
        <v>26</v>
      </c>
      <c r="S14">
        <v>30</v>
      </c>
      <c r="T14">
        <v>5</v>
      </c>
      <c r="U14">
        <v>9</v>
      </c>
      <c r="V14">
        <v>45</v>
      </c>
      <c r="W14">
        <v>-26</v>
      </c>
      <c r="X14">
        <v>-20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A18D-C6D9-4C50-B982-F3CD7D3EC9D6}">
  <dimension ref="A1:X12"/>
  <sheetViews>
    <sheetView workbookViewId="0">
      <selection activeCell="D5" sqref="D5"/>
    </sheetView>
  </sheetViews>
  <sheetFormatPr defaultRowHeight="14.4" x14ac:dyDescent="0.3"/>
  <cols>
    <col min="1" max="1" width="12.88671875" bestFit="1" customWidth="1"/>
    <col min="2" max="2" width="8.44140625" bestFit="1" customWidth="1"/>
    <col min="3" max="3" width="6.109375" bestFit="1" customWidth="1"/>
    <col min="4" max="4" width="6.33203125" bestFit="1" customWidth="1"/>
    <col min="5" max="5" width="5.5546875" bestFit="1" customWidth="1"/>
    <col min="6" max="6" width="6.6640625" bestFit="1" customWidth="1"/>
    <col min="7" max="7" width="7.109375" bestFit="1" customWidth="1"/>
    <col min="8" max="8" width="5.33203125" bestFit="1" customWidth="1"/>
    <col min="9" max="9" width="6.44140625" bestFit="1" customWidth="1"/>
    <col min="10" max="10" width="7.109375" bestFit="1" customWidth="1"/>
    <col min="11" max="11" width="5.33203125" bestFit="1" customWidth="1"/>
    <col min="12" max="12" width="6.44140625" bestFit="1" customWidth="1"/>
    <col min="13" max="13" width="7.109375" bestFit="1" customWidth="1"/>
    <col min="14" max="14" width="5.109375" bestFit="1" customWidth="1"/>
    <col min="15" max="15" width="6.21875" bestFit="1" customWidth="1"/>
    <col min="16" max="16" width="7.109375" bestFit="1" customWidth="1"/>
    <col min="17" max="17" width="6.44140625" bestFit="1" customWidth="1"/>
    <col min="18" max="18" width="5.6640625" bestFit="1" customWidth="1"/>
    <col min="19" max="19" width="5.5546875" bestFit="1" customWidth="1"/>
    <col min="20" max="20" width="6.33203125" bestFit="1" customWidth="1"/>
    <col min="21" max="21" width="6.109375" bestFit="1" customWidth="1"/>
    <col min="22" max="22" width="5.44140625" bestFit="1" customWidth="1"/>
    <col min="23" max="24" width="6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4</v>
      </c>
      <c r="E1" t="s">
        <v>119</v>
      </c>
      <c r="F1" t="s">
        <v>7</v>
      </c>
      <c r="G1" t="s">
        <v>112</v>
      </c>
      <c r="H1" t="s">
        <v>120</v>
      </c>
      <c r="I1" t="s">
        <v>9</v>
      </c>
      <c r="J1" t="s">
        <v>114</v>
      </c>
      <c r="K1" t="s">
        <v>121</v>
      </c>
      <c r="L1" t="s">
        <v>11</v>
      </c>
      <c r="M1" t="s">
        <v>116</v>
      </c>
      <c r="N1" t="s">
        <v>122</v>
      </c>
      <c r="O1" t="s">
        <v>13</v>
      </c>
      <c r="P1" t="s">
        <v>118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3">
      <c r="A2" t="s">
        <v>123</v>
      </c>
      <c r="B2" t="s">
        <v>0</v>
      </c>
      <c r="C2" t="s">
        <v>102</v>
      </c>
      <c r="D2">
        <v>29</v>
      </c>
      <c r="E2" t="s">
        <v>124</v>
      </c>
      <c r="F2" t="s">
        <v>125</v>
      </c>
      <c r="G2" s="1">
        <f>Jogo_1[[#This Row],[FG]]/Jogo_1[[#This Row],[FGA]]</f>
        <v>0.24561403508771928</v>
      </c>
      <c r="H2">
        <v>14</v>
      </c>
      <c r="I2">
        <v>53</v>
      </c>
      <c r="J2" s="1">
        <f>Jogo_1[[#This Row],[2P]]/Jogo_1[[#This Row],[2PA]]</f>
        <v>0.26415094339622641</v>
      </c>
      <c r="K2">
        <v>0</v>
      </c>
      <c r="L2">
        <v>4</v>
      </c>
      <c r="M2" s="1">
        <f>Jogo_1[[#This Row],[3P]]/Jogo_1[[#This Row],[3PA]]</f>
        <v>0</v>
      </c>
      <c r="N2">
        <v>1</v>
      </c>
      <c r="O2">
        <v>9</v>
      </c>
      <c r="P2" s="1">
        <f>Jogo_1[[#This Row],[FT]]/Jogo_1[[#This Row],[FTA]]</f>
        <v>0.1111111111111111</v>
      </c>
      <c r="Q2">
        <v>34</v>
      </c>
      <c r="R2">
        <v>20</v>
      </c>
      <c r="S2">
        <v>14</v>
      </c>
      <c r="T2">
        <v>0</v>
      </c>
      <c r="U2">
        <v>0</v>
      </c>
      <c r="V2">
        <v>25</v>
      </c>
      <c r="W2">
        <v>-13</v>
      </c>
      <c r="X2">
        <v>16</v>
      </c>
    </row>
    <row r="3" spans="1:24" x14ac:dyDescent="0.3">
      <c r="A3" t="s">
        <v>123</v>
      </c>
      <c r="B3" t="s">
        <v>101</v>
      </c>
      <c r="C3" t="s">
        <v>102</v>
      </c>
      <c r="D3">
        <v>29</v>
      </c>
      <c r="E3" t="s">
        <v>124</v>
      </c>
      <c r="F3" t="s">
        <v>125</v>
      </c>
      <c r="G3" s="1">
        <f>Jogo_1[[#This Row],[FG]]/Jogo_1[[#This Row],[FGA]]</f>
        <v>0.24561403508771928</v>
      </c>
      <c r="H3">
        <v>14</v>
      </c>
      <c r="I3">
        <v>53</v>
      </c>
      <c r="J3" s="1">
        <f>Jogo_1[[#This Row],[2P]]/Jogo_1[[#This Row],[2PA]]</f>
        <v>0.26415094339622641</v>
      </c>
      <c r="K3">
        <v>0</v>
      </c>
      <c r="L3">
        <v>4</v>
      </c>
      <c r="M3" s="1">
        <f>Jogo_1[[#This Row],[3P]]/Jogo_1[[#This Row],[3PA]]</f>
        <v>0</v>
      </c>
      <c r="N3">
        <v>1</v>
      </c>
      <c r="O3">
        <v>9</v>
      </c>
      <c r="P3" s="1">
        <f>Jogo_1[[#This Row],[FT]]/Jogo_1[[#This Row],[FTA]]</f>
        <v>0.1111111111111111</v>
      </c>
      <c r="Q3">
        <v>34</v>
      </c>
      <c r="R3">
        <v>20</v>
      </c>
      <c r="S3">
        <v>14</v>
      </c>
      <c r="T3">
        <v>0</v>
      </c>
      <c r="U3">
        <v>0</v>
      </c>
      <c r="V3">
        <v>25</v>
      </c>
      <c r="W3">
        <v>-13</v>
      </c>
      <c r="X3">
        <v>16</v>
      </c>
    </row>
    <row r="4" spans="1:24" x14ac:dyDescent="0.3">
      <c r="A4" t="s">
        <v>22</v>
      </c>
      <c r="B4" t="s">
        <v>47</v>
      </c>
      <c r="C4" t="s">
        <v>43</v>
      </c>
      <c r="D4">
        <v>8</v>
      </c>
      <c r="E4" t="s">
        <v>29</v>
      </c>
      <c r="F4" t="s">
        <v>64</v>
      </c>
      <c r="G4" s="1">
        <f>Jogo_1[[#This Row],[FG]]/Jogo_1[[#This Row],[FGA]]</f>
        <v>0.30769230769230771</v>
      </c>
      <c r="H4">
        <v>4</v>
      </c>
      <c r="I4">
        <v>12</v>
      </c>
      <c r="J4" s="1">
        <f>Jogo_1[[#This Row],[2P]]/Jogo_1[[#This Row],[2PA]]</f>
        <v>0.33333333333333331</v>
      </c>
      <c r="K4">
        <v>0</v>
      </c>
      <c r="L4">
        <v>1</v>
      </c>
      <c r="M4" s="1">
        <f>Jogo_1[[#This Row],[3P]]/Jogo_1[[#This Row],[3PA]]</f>
        <v>0</v>
      </c>
      <c r="N4">
        <v>0</v>
      </c>
      <c r="O4">
        <v>0</v>
      </c>
      <c r="P4" s="1" t="e">
        <f>Jogo_1[[#This Row],[FT]]/Jogo_1[[#This Row],[FTA]]</f>
        <v>#DIV/0!</v>
      </c>
      <c r="Q4">
        <v>5</v>
      </c>
      <c r="R4">
        <v>0</v>
      </c>
      <c r="S4">
        <v>5</v>
      </c>
      <c r="T4">
        <v>1</v>
      </c>
      <c r="U4">
        <v>1</v>
      </c>
      <c r="V4">
        <v>4</v>
      </c>
      <c r="W4">
        <v>1</v>
      </c>
      <c r="X4">
        <v>-9</v>
      </c>
    </row>
    <row r="5" spans="1:24" x14ac:dyDescent="0.3">
      <c r="A5" t="s">
        <v>22</v>
      </c>
      <c r="B5" t="s">
        <v>55</v>
      </c>
      <c r="C5">
        <v>8</v>
      </c>
      <c r="D5">
        <v>2</v>
      </c>
      <c r="E5" t="s">
        <v>34</v>
      </c>
      <c r="F5" t="s">
        <v>43</v>
      </c>
      <c r="G5" s="1">
        <f>Jogo_1[[#This Row],[FG]]/Jogo_1[[#This Row],[FGA]]</f>
        <v>0.14285714285714285</v>
      </c>
      <c r="H5">
        <v>1</v>
      </c>
      <c r="I5">
        <v>3</v>
      </c>
      <c r="J5" s="1">
        <f>Jogo_1[[#This Row],[2P]]/Jogo_1[[#This Row],[2PA]]</f>
        <v>0.33333333333333331</v>
      </c>
      <c r="K5">
        <v>0</v>
      </c>
      <c r="L5">
        <v>4</v>
      </c>
      <c r="M5" s="1">
        <f>Jogo_1[[#This Row],[3P]]/Jogo_1[[#This Row],[3PA]]</f>
        <v>0</v>
      </c>
      <c r="N5">
        <v>0</v>
      </c>
      <c r="O5">
        <v>2</v>
      </c>
      <c r="P5" s="1">
        <f>Jogo_1[[#This Row],[FT]]/Jogo_1[[#This Row],[FTA]]</f>
        <v>0</v>
      </c>
      <c r="Q5">
        <v>9</v>
      </c>
      <c r="R5">
        <v>3</v>
      </c>
      <c r="S5">
        <v>6</v>
      </c>
      <c r="T5">
        <v>0</v>
      </c>
      <c r="U5">
        <v>2</v>
      </c>
      <c r="V5">
        <v>6</v>
      </c>
      <c r="W5">
        <v>-1</v>
      </c>
      <c r="X5">
        <v>-16</v>
      </c>
    </row>
    <row r="6" spans="1:24" x14ac:dyDescent="0.3">
      <c r="A6" t="s">
        <v>22</v>
      </c>
      <c r="B6" t="s">
        <v>66</v>
      </c>
      <c r="C6">
        <v>10</v>
      </c>
      <c r="D6">
        <v>0</v>
      </c>
      <c r="E6" t="s">
        <v>33</v>
      </c>
      <c r="F6" t="s">
        <v>31</v>
      </c>
      <c r="G6" s="1">
        <f>Jogo_1[[#This Row],[FG]]/Jogo_1[[#This Row],[FGA]]</f>
        <v>0</v>
      </c>
      <c r="H6">
        <v>0</v>
      </c>
      <c r="I6">
        <v>1</v>
      </c>
      <c r="J6" s="1">
        <f>Jogo_1[[#This Row],[2P]]/Jogo_1[[#This Row],[2PA]]</f>
        <v>0</v>
      </c>
      <c r="K6">
        <v>0</v>
      </c>
      <c r="L6">
        <v>4</v>
      </c>
      <c r="M6" s="1">
        <f>Jogo_1[[#This Row],[3P]]/Jogo_1[[#This Row],[3PA]]</f>
        <v>0</v>
      </c>
      <c r="N6">
        <v>0</v>
      </c>
      <c r="O6">
        <v>0</v>
      </c>
      <c r="P6" s="1" t="e">
        <f>Jogo_1[[#This Row],[FT]]/Jogo_1[[#This Row],[FTA]]</f>
        <v>#DIV/0!</v>
      </c>
      <c r="Q6">
        <v>4</v>
      </c>
      <c r="R6">
        <v>1</v>
      </c>
      <c r="S6">
        <v>3</v>
      </c>
      <c r="T6">
        <v>0</v>
      </c>
      <c r="U6">
        <v>1</v>
      </c>
      <c r="V6">
        <v>6</v>
      </c>
      <c r="W6">
        <v>-6</v>
      </c>
      <c r="X6">
        <v>-16</v>
      </c>
    </row>
    <row r="7" spans="1:24" x14ac:dyDescent="0.3">
      <c r="A7" t="s">
        <v>22</v>
      </c>
      <c r="B7" t="s">
        <v>73</v>
      </c>
      <c r="C7">
        <v>12</v>
      </c>
      <c r="D7">
        <v>3</v>
      </c>
      <c r="E7" t="s">
        <v>34</v>
      </c>
      <c r="F7" t="s">
        <v>43</v>
      </c>
      <c r="G7" s="1">
        <f>Jogo_1[[#This Row],[FG]]/Jogo_1[[#This Row],[FGA]]</f>
        <v>0.14285714285714285</v>
      </c>
      <c r="H7">
        <v>0</v>
      </c>
      <c r="I7">
        <v>4</v>
      </c>
      <c r="J7" s="1">
        <f>Jogo_1[[#This Row],[2P]]/Jogo_1[[#This Row],[2PA]]</f>
        <v>0</v>
      </c>
      <c r="K7">
        <v>1</v>
      </c>
      <c r="L7">
        <v>3</v>
      </c>
      <c r="M7" s="1">
        <f>Jogo_1[[#This Row],[3P]]/Jogo_1[[#This Row],[3PA]]</f>
        <v>0.33333333333333331</v>
      </c>
      <c r="N7">
        <v>0</v>
      </c>
      <c r="O7">
        <v>3</v>
      </c>
      <c r="P7" s="1">
        <f>Jogo_1[[#This Row],[FT]]/Jogo_1[[#This Row],[FTA]]</f>
        <v>0</v>
      </c>
      <c r="Q7">
        <v>4</v>
      </c>
      <c r="R7">
        <v>0</v>
      </c>
      <c r="S7">
        <v>4</v>
      </c>
      <c r="T7">
        <v>1</v>
      </c>
      <c r="U7">
        <v>0</v>
      </c>
      <c r="V7">
        <v>10</v>
      </c>
      <c r="W7">
        <v>-12</v>
      </c>
      <c r="X7">
        <v>-14</v>
      </c>
    </row>
    <row r="8" spans="1:24" x14ac:dyDescent="0.3">
      <c r="A8" t="s">
        <v>22</v>
      </c>
      <c r="B8" t="s">
        <v>81</v>
      </c>
      <c r="C8">
        <v>16</v>
      </c>
      <c r="D8">
        <v>0</v>
      </c>
      <c r="E8" t="s">
        <v>33</v>
      </c>
      <c r="F8" t="s">
        <v>34</v>
      </c>
      <c r="G8" s="1">
        <f>Jogo_1[[#This Row],[FG]]/Jogo_1[[#This Row],[FGA]]</f>
        <v>0</v>
      </c>
      <c r="H8">
        <v>0</v>
      </c>
      <c r="I8">
        <v>1</v>
      </c>
      <c r="J8" s="1">
        <f>Jogo_1[[#This Row],[2P]]/Jogo_1[[#This Row],[2PA]]</f>
        <v>0</v>
      </c>
      <c r="K8">
        <v>0</v>
      </c>
      <c r="L8">
        <v>0</v>
      </c>
      <c r="M8" s="1" t="e">
        <f>Jogo_1[[#This Row],[3P]]/Jogo_1[[#This Row],[3PA]]</f>
        <v>#DIV/0!</v>
      </c>
      <c r="N8">
        <v>0</v>
      </c>
      <c r="O8">
        <v>0</v>
      </c>
      <c r="P8" s="1" t="e">
        <f>Jogo_1[[#This Row],[FT]]/Jogo_1[[#This Row],[FTA]]</f>
        <v>#DIV/0!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-11</v>
      </c>
      <c r="X8">
        <v>-7</v>
      </c>
    </row>
    <row r="9" spans="1:24" x14ac:dyDescent="0.3">
      <c r="A9" t="s">
        <v>22</v>
      </c>
      <c r="B9" t="s">
        <v>89</v>
      </c>
      <c r="C9">
        <v>17</v>
      </c>
      <c r="D9">
        <v>0</v>
      </c>
      <c r="E9" t="s">
        <v>33</v>
      </c>
      <c r="F9" t="s">
        <v>33</v>
      </c>
      <c r="G9" s="1" t="e">
        <f>Jogo_1[[#This Row],[FG]]/Jogo_1[[#This Row],[FGA]]</f>
        <v>#DIV/0!</v>
      </c>
      <c r="H9">
        <v>0</v>
      </c>
      <c r="I9">
        <v>0</v>
      </c>
      <c r="J9" s="1" t="e">
        <f>Jogo_1[[#This Row],[2P]]/Jogo_1[[#This Row],[2PA]]</f>
        <v>#DIV/0!</v>
      </c>
      <c r="K9">
        <v>0</v>
      </c>
      <c r="L9">
        <v>0</v>
      </c>
      <c r="M9" s="1" t="e">
        <f>Jogo_1[[#This Row],[3P]]/Jogo_1[[#This Row],[3PA]]</f>
        <v>#DIV/0!</v>
      </c>
      <c r="N9">
        <v>0</v>
      </c>
      <c r="O9">
        <v>0</v>
      </c>
      <c r="P9" s="1" t="e">
        <f>Jogo_1[[#This Row],[FT]]/Jogo_1[[#This Row],[FTA]]</f>
        <v>#DIV/0!</v>
      </c>
      <c r="Q9">
        <v>1</v>
      </c>
      <c r="R9">
        <v>1</v>
      </c>
      <c r="S9">
        <v>0</v>
      </c>
      <c r="T9">
        <v>0</v>
      </c>
      <c r="U9">
        <v>0</v>
      </c>
      <c r="V9">
        <v>2</v>
      </c>
      <c r="W9">
        <v>-1</v>
      </c>
      <c r="X9">
        <v>-9</v>
      </c>
    </row>
    <row r="10" spans="1:24" x14ac:dyDescent="0.3">
      <c r="A10" t="s">
        <v>22</v>
      </c>
      <c r="B10" t="s">
        <v>95</v>
      </c>
      <c r="C10">
        <v>20</v>
      </c>
      <c r="D10">
        <v>0</v>
      </c>
      <c r="E10" t="s">
        <v>33</v>
      </c>
      <c r="F10" t="s">
        <v>29</v>
      </c>
      <c r="G10" s="1">
        <f>Jogo_1[[#This Row],[FG]]/Jogo_1[[#This Row],[FGA]]</f>
        <v>0</v>
      </c>
      <c r="H10">
        <v>0</v>
      </c>
      <c r="I10">
        <v>3</v>
      </c>
      <c r="J10" s="1">
        <f>Jogo_1[[#This Row],[2P]]/Jogo_1[[#This Row],[2PA]]</f>
        <v>0</v>
      </c>
      <c r="K10">
        <v>0</v>
      </c>
      <c r="L10">
        <v>1</v>
      </c>
      <c r="M10" s="1">
        <f>Jogo_1[[#This Row],[3P]]/Jogo_1[[#This Row],[3PA]]</f>
        <v>0</v>
      </c>
      <c r="N10">
        <v>0</v>
      </c>
      <c r="O10">
        <v>0</v>
      </c>
      <c r="P10" s="1" t="e">
        <f>Jogo_1[[#This Row],[FT]]/Jogo_1[[#This Row],[FTA]]</f>
        <v>#DIV/0!</v>
      </c>
      <c r="Q10">
        <v>7</v>
      </c>
      <c r="R10">
        <v>3</v>
      </c>
      <c r="S10">
        <v>4</v>
      </c>
      <c r="T10">
        <v>0</v>
      </c>
      <c r="U10">
        <v>1</v>
      </c>
      <c r="V10">
        <v>2</v>
      </c>
      <c r="W10">
        <v>0</v>
      </c>
      <c r="X10">
        <v>-9</v>
      </c>
    </row>
    <row r="11" spans="1:24" x14ac:dyDescent="0.3">
      <c r="A11" t="s">
        <v>22</v>
      </c>
      <c r="B11" t="s">
        <v>101</v>
      </c>
      <c r="C11" t="s">
        <v>102</v>
      </c>
      <c r="D11">
        <v>13</v>
      </c>
      <c r="E11" t="s">
        <v>93</v>
      </c>
      <c r="F11" t="s">
        <v>126</v>
      </c>
      <c r="G11" s="1">
        <f>Jogo_1[[#This Row],[FG]]/Jogo_1[[#This Row],[FGA]]</f>
        <v>0.16216216216216217</v>
      </c>
      <c r="H11">
        <v>5</v>
      </c>
      <c r="I11">
        <v>24</v>
      </c>
      <c r="J11" s="1">
        <f>Jogo_1[[#This Row],[2P]]/Jogo_1[[#This Row],[2PA]]</f>
        <v>0.20833333333333334</v>
      </c>
      <c r="K11">
        <v>1</v>
      </c>
      <c r="L11">
        <v>13</v>
      </c>
      <c r="M11" s="1">
        <f>Jogo_1[[#This Row],[3P]]/Jogo_1[[#This Row],[3PA]]</f>
        <v>7.6923076923076927E-2</v>
      </c>
      <c r="N11">
        <v>0</v>
      </c>
      <c r="O11">
        <v>5</v>
      </c>
      <c r="P11" s="1">
        <f>Jogo_1[[#This Row],[FT]]/Jogo_1[[#This Row],[FTA]]</f>
        <v>0</v>
      </c>
      <c r="Q11">
        <v>30</v>
      </c>
      <c r="R11">
        <v>8</v>
      </c>
      <c r="S11">
        <v>22</v>
      </c>
      <c r="T11">
        <v>2</v>
      </c>
      <c r="U11">
        <v>6</v>
      </c>
      <c r="V11">
        <v>39</v>
      </c>
      <c r="W11">
        <v>-30</v>
      </c>
      <c r="X11">
        <v>-80</v>
      </c>
    </row>
    <row r="12" spans="1:24" x14ac:dyDescent="0.3">
      <c r="A12" t="s">
        <v>101</v>
      </c>
      <c r="B12" t="s">
        <v>101</v>
      </c>
      <c r="C12" t="s">
        <v>102</v>
      </c>
      <c r="D12">
        <v>42</v>
      </c>
      <c r="E12" t="s">
        <v>96</v>
      </c>
      <c r="F12" t="s">
        <v>127</v>
      </c>
      <c r="G12" s="1">
        <f>Jogo_1[[#This Row],[FG]]/Jogo_1[[#This Row],[FGA]]</f>
        <v>0.21276595744680851</v>
      </c>
      <c r="H12">
        <v>19</v>
      </c>
      <c r="I12">
        <v>77</v>
      </c>
      <c r="J12" s="1">
        <f>Jogo_1[[#This Row],[2P]]/Jogo_1[[#This Row],[2PA]]</f>
        <v>0.24675324675324675</v>
      </c>
      <c r="K12">
        <v>1</v>
      </c>
      <c r="L12">
        <v>17</v>
      </c>
      <c r="M12" s="1">
        <f>Jogo_1[[#This Row],[3P]]/Jogo_1[[#This Row],[3PA]]</f>
        <v>5.8823529411764705E-2</v>
      </c>
      <c r="N12">
        <v>1</v>
      </c>
      <c r="O12">
        <v>14</v>
      </c>
      <c r="P12" s="1">
        <f>Jogo_1[[#This Row],[FT]]/Jogo_1[[#This Row],[FTA]]</f>
        <v>7.1428571428571425E-2</v>
      </c>
      <c r="Q12">
        <v>64</v>
      </c>
      <c r="R12">
        <v>28</v>
      </c>
      <c r="S12">
        <v>36</v>
      </c>
      <c r="T12">
        <v>2</v>
      </c>
      <c r="U12">
        <v>6</v>
      </c>
      <c r="V12">
        <v>64</v>
      </c>
      <c r="W12">
        <v>-43</v>
      </c>
      <c r="X12">
        <v>-64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A11F-41E7-4B9F-99DB-455CF93F2051}">
  <dimension ref="A3:X26"/>
  <sheetViews>
    <sheetView topLeftCell="M36" workbookViewId="0">
      <selection activeCell="S27" sqref="S27"/>
    </sheetView>
  </sheetViews>
  <sheetFormatPr defaultRowHeight="14.4" x14ac:dyDescent="0.3"/>
  <cols>
    <col min="1" max="1" width="10.44140625" bestFit="1" customWidth="1"/>
    <col min="2" max="2" width="12.109375" bestFit="1" customWidth="1"/>
    <col min="3" max="3" width="12.44140625" bestFit="1" customWidth="1"/>
    <col min="4" max="4" width="17.21875" bestFit="1" customWidth="1"/>
    <col min="5" max="5" width="16" bestFit="1" customWidth="1"/>
    <col min="6" max="6" width="15" bestFit="1" customWidth="1"/>
    <col min="7" max="7" width="15.77734375" bestFit="1" customWidth="1"/>
    <col min="8" max="8" width="16" bestFit="1" customWidth="1"/>
    <col min="9" max="9" width="10.44140625" bestFit="1" customWidth="1"/>
    <col min="10" max="10" width="12.109375" bestFit="1" customWidth="1"/>
    <col min="11" max="11" width="12.44140625" bestFit="1" customWidth="1"/>
    <col min="12" max="12" width="17.21875" bestFit="1" customWidth="1"/>
    <col min="13" max="13" width="16" bestFit="1" customWidth="1"/>
    <col min="14" max="14" width="15" bestFit="1" customWidth="1"/>
    <col min="15" max="15" width="15.77734375" bestFit="1" customWidth="1"/>
    <col min="18" max="18" width="35.77734375" customWidth="1"/>
    <col min="21" max="21" width="11.6640625" customWidth="1"/>
    <col min="22" max="22" width="10.21875" customWidth="1"/>
    <col min="23" max="23" width="9.5546875" customWidth="1"/>
    <col min="24" max="24" width="10" customWidth="1"/>
  </cols>
  <sheetData>
    <row r="3" spans="1:24" x14ac:dyDescent="0.3">
      <c r="A3" s="6" t="s">
        <v>149</v>
      </c>
      <c r="B3" t="s">
        <v>142</v>
      </c>
      <c r="C3" t="s">
        <v>146</v>
      </c>
      <c r="D3" t="s">
        <v>148</v>
      </c>
      <c r="E3" t="s">
        <v>158</v>
      </c>
      <c r="F3" t="s">
        <v>157</v>
      </c>
      <c r="I3" s="6" t="s">
        <v>152</v>
      </c>
      <c r="J3" t="s">
        <v>142</v>
      </c>
      <c r="K3" t="s">
        <v>146</v>
      </c>
      <c r="L3" t="s">
        <v>148</v>
      </c>
      <c r="M3" t="s">
        <v>158</v>
      </c>
      <c r="N3" t="s">
        <v>157</v>
      </c>
      <c r="R3" s="30" t="s">
        <v>149</v>
      </c>
      <c r="S3" s="30" t="s">
        <v>161</v>
      </c>
      <c r="T3" s="30" t="s">
        <v>143</v>
      </c>
      <c r="U3" s="30" t="s">
        <v>162</v>
      </c>
      <c r="V3" s="30" t="s">
        <v>155</v>
      </c>
      <c r="W3" s="30" t="s">
        <v>163</v>
      </c>
      <c r="X3" s="30" t="s">
        <v>164</v>
      </c>
    </row>
    <row r="4" spans="1:24" x14ac:dyDescent="0.3">
      <c r="A4" s="7" t="s">
        <v>47</v>
      </c>
      <c r="B4" s="5">
        <v>5.5555555555555554</v>
      </c>
      <c r="C4" s="16">
        <v>28.962962962962965</v>
      </c>
      <c r="D4" s="4">
        <v>0.37358039450089658</v>
      </c>
      <c r="E4" s="5">
        <v>5.1111111111111107</v>
      </c>
      <c r="F4" s="5">
        <v>6.1111111111111107</v>
      </c>
      <c r="I4" s="7" t="s">
        <v>66</v>
      </c>
      <c r="J4" s="5">
        <v>2</v>
      </c>
      <c r="K4" s="16">
        <v>10.92</v>
      </c>
      <c r="L4" s="4">
        <v>0.12057877813504823</v>
      </c>
      <c r="M4" s="5">
        <v>3.3333333333333335</v>
      </c>
      <c r="N4" s="5">
        <v>6</v>
      </c>
      <c r="R4" s="29" t="s">
        <v>165</v>
      </c>
      <c r="S4" s="18">
        <v>13.005555555555556</v>
      </c>
      <c r="T4" s="20">
        <v>12</v>
      </c>
      <c r="U4" s="20">
        <v>1.1146544126951756</v>
      </c>
      <c r="V4" s="18">
        <v>20.194444444444443</v>
      </c>
      <c r="W4" s="18">
        <v>29.736111111111107</v>
      </c>
      <c r="X4" s="18">
        <v>-8.0083333333333329</v>
      </c>
    </row>
    <row r="5" spans="1:24" x14ac:dyDescent="0.3">
      <c r="A5" s="7" t="s">
        <v>73</v>
      </c>
      <c r="B5" s="5">
        <v>3.75</v>
      </c>
      <c r="C5" s="16">
        <v>18.112500000000001</v>
      </c>
      <c r="D5" s="4">
        <v>0.24334847501622323</v>
      </c>
      <c r="E5" s="5">
        <v>4.25</v>
      </c>
      <c r="F5" s="5">
        <v>7.625</v>
      </c>
      <c r="I5" s="7" t="s">
        <v>47</v>
      </c>
      <c r="J5" s="5">
        <v>5.5555555555555554</v>
      </c>
      <c r="K5" s="16">
        <v>28.962962962962965</v>
      </c>
      <c r="L5" s="4">
        <v>0.37358039450089658</v>
      </c>
      <c r="M5" s="5">
        <v>5.1111111111111107</v>
      </c>
      <c r="N5" s="5">
        <v>6.1111111111111107</v>
      </c>
      <c r="R5" s="31"/>
      <c r="S5" s="32"/>
      <c r="T5" s="33"/>
      <c r="U5" s="34"/>
      <c r="V5" s="32"/>
      <c r="W5" s="32"/>
      <c r="X5" s="35"/>
    </row>
    <row r="6" spans="1:24" x14ac:dyDescent="0.3">
      <c r="A6" s="7" t="s">
        <v>66</v>
      </c>
      <c r="B6" s="5">
        <v>2</v>
      </c>
      <c r="C6" s="16">
        <v>10.92</v>
      </c>
      <c r="D6" s="4">
        <v>0.12057877813504823</v>
      </c>
      <c r="E6" s="5">
        <v>3.3333333333333335</v>
      </c>
      <c r="F6" s="5">
        <v>6</v>
      </c>
      <c r="I6" s="7" t="s">
        <v>55</v>
      </c>
      <c r="J6" s="5">
        <v>5.8888888888888893</v>
      </c>
      <c r="K6" s="16">
        <v>36.223209876543208</v>
      </c>
      <c r="L6" s="4">
        <v>0.36123227917121048</v>
      </c>
      <c r="M6" s="5">
        <v>9.2222222222222214</v>
      </c>
      <c r="N6" s="5">
        <v>6.4444444444444446</v>
      </c>
      <c r="R6" s="22"/>
      <c r="S6" s="18"/>
      <c r="T6" s="19"/>
      <c r="U6" s="20"/>
      <c r="V6" s="18"/>
      <c r="W6" s="18"/>
      <c r="X6" s="23"/>
    </row>
    <row r="7" spans="1:24" x14ac:dyDescent="0.3">
      <c r="A7" s="7" t="s">
        <v>81</v>
      </c>
      <c r="B7" s="5">
        <v>1.3</v>
      </c>
      <c r="C7" s="16">
        <v>1.7809999999999999</v>
      </c>
      <c r="D7" s="4">
        <v>0.12333965844402277</v>
      </c>
      <c r="E7" s="5">
        <v>3.1</v>
      </c>
      <c r="F7" s="5">
        <v>8.6</v>
      </c>
      <c r="I7" s="7" t="s">
        <v>81</v>
      </c>
      <c r="J7" s="5">
        <v>1.3</v>
      </c>
      <c r="K7" s="16">
        <v>1.7809999999999999</v>
      </c>
      <c r="L7" s="4">
        <v>0.12333965844402277</v>
      </c>
      <c r="M7" s="5">
        <v>3.1</v>
      </c>
      <c r="N7" s="5">
        <v>8.6</v>
      </c>
      <c r="R7" s="24"/>
      <c r="S7" s="18"/>
      <c r="T7" s="19"/>
      <c r="U7" s="20"/>
      <c r="V7" s="18"/>
      <c r="W7" s="18"/>
      <c r="X7" s="23"/>
    </row>
    <row r="8" spans="1:24" x14ac:dyDescent="0.3">
      <c r="A8" s="7" t="s">
        <v>95</v>
      </c>
      <c r="B8" s="5">
        <v>0.4</v>
      </c>
      <c r="C8" s="16">
        <v>0.43520000000000003</v>
      </c>
      <c r="D8" s="4">
        <v>0.25380710659898476</v>
      </c>
      <c r="E8" s="5">
        <v>4.4000000000000004</v>
      </c>
      <c r="F8" s="5">
        <v>1.4</v>
      </c>
      <c r="I8" s="7" t="s">
        <v>37</v>
      </c>
      <c r="J8" s="5">
        <v>0</v>
      </c>
      <c r="K8" s="16">
        <v>0</v>
      </c>
      <c r="L8" s="4">
        <v>0</v>
      </c>
      <c r="M8" s="5">
        <v>1.3333333333333333</v>
      </c>
      <c r="N8" s="5">
        <v>1.2222222222222223</v>
      </c>
      <c r="R8" s="22"/>
      <c r="S8" s="18"/>
      <c r="T8" s="19"/>
      <c r="U8" s="20"/>
      <c r="V8" s="18"/>
      <c r="W8" s="18"/>
      <c r="X8" s="23"/>
    </row>
    <row r="9" spans="1:24" x14ac:dyDescent="0.3">
      <c r="A9" s="7" t="s">
        <v>130</v>
      </c>
      <c r="B9" s="5">
        <v>13.005555555555556</v>
      </c>
      <c r="C9" s="16">
        <v>12.042332592592592</v>
      </c>
      <c r="D9" s="4">
        <v>1.1146544126951756</v>
      </c>
      <c r="E9" s="5">
        <v>20.194444444444443</v>
      </c>
      <c r="F9" s="5">
        <v>29.736111111111107</v>
      </c>
      <c r="I9" s="7" t="s">
        <v>130</v>
      </c>
      <c r="J9" s="5">
        <v>14.744444444444445</v>
      </c>
      <c r="K9" s="16">
        <v>15.577434567901236</v>
      </c>
      <c r="L9" s="4">
        <v>0.97873111025117798</v>
      </c>
      <c r="M9" s="5">
        <v>22.099999999999998</v>
      </c>
      <c r="N9" s="5">
        <v>28.37777777777778</v>
      </c>
      <c r="R9" s="21"/>
      <c r="S9" s="25"/>
      <c r="T9" s="26"/>
      <c r="U9" s="27"/>
      <c r="V9" s="25"/>
      <c r="W9" s="25"/>
      <c r="X9" s="28"/>
    </row>
    <row r="10" spans="1:24" x14ac:dyDescent="0.3">
      <c r="B10" s="5">
        <v>4</v>
      </c>
      <c r="C10" s="16">
        <v>0.05</v>
      </c>
      <c r="D10" s="16">
        <v>0.03</v>
      </c>
      <c r="E10" s="5">
        <v>5</v>
      </c>
      <c r="F10" s="5">
        <v>4</v>
      </c>
      <c r="G10" s="16">
        <v>0.05</v>
      </c>
      <c r="H10">
        <f>4+5+3+5+4+5</f>
        <v>26</v>
      </c>
      <c r="J10" s="5">
        <v>3</v>
      </c>
      <c r="K10" s="16">
        <v>0.03</v>
      </c>
      <c r="L10" s="16">
        <v>0.05</v>
      </c>
      <c r="M10" s="5">
        <v>4</v>
      </c>
      <c r="N10" s="5">
        <v>3</v>
      </c>
      <c r="O10" s="16">
        <v>0.03</v>
      </c>
      <c r="P10">
        <f>3+3+5+4+3+3</f>
        <v>21</v>
      </c>
    </row>
    <row r="11" spans="1:24" x14ac:dyDescent="0.3">
      <c r="A11" s="6" t="s">
        <v>150</v>
      </c>
      <c r="B11" t="s">
        <v>142</v>
      </c>
      <c r="C11" t="s">
        <v>146</v>
      </c>
      <c r="D11" t="s">
        <v>148</v>
      </c>
      <c r="E11" t="s">
        <v>158</v>
      </c>
      <c r="F11" t="s">
        <v>157</v>
      </c>
      <c r="I11" s="6" t="s">
        <v>153</v>
      </c>
      <c r="J11" t="s">
        <v>142</v>
      </c>
      <c r="K11" t="s">
        <v>146</v>
      </c>
      <c r="L11" t="s">
        <v>148</v>
      </c>
      <c r="M11" t="s">
        <v>158</v>
      </c>
      <c r="N11" t="s">
        <v>157</v>
      </c>
      <c r="R11" s="30" t="s">
        <v>150</v>
      </c>
      <c r="S11" s="30" t="s">
        <v>161</v>
      </c>
      <c r="T11" s="30" t="s">
        <v>143</v>
      </c>
      <c r="U11" s="30" t="s">
        <v>162</v>
      </c>
      <c r="V11" s="30" t="s">
        <v>155</v>
      </c>
      <c r="W11" s="30" t="s">
        <v>163</v>
      </c>
      <c r="X11" s="30" t="s">
        <v>164</v>
      </c>
    </row>
    <row r="12" spans="1:24" x14ac:dyDescent="0.3">
      <c r="A12" s="7" t="s">
        <v>66</v>
      </c>
      <c r="B12" s="5">
        <v>2</v>
      </c>
      <c r="C12" s="16">
        <v>10.92</v>
      </c>
      <c r="D12" s="4">
        <v>0.12057877813504823</v>
      </c>
      <c r="E12" s="5">
        <v>3.3333333333333335</v>
      </c>
      <c r="F12" s="5">
        <v>6</v>
      </c>
      <c r="I12" s="7" t="s">
        <v>73</v>
      </c>
      <c r="J12" s="5">
        <v>3.75</v>
      </c>
      <c r="K12" s="16">
        <v>18.112500000000001</v>
      </c>
      <c r="L12" s="4">
        <v>0.24334847501622323</v>
      </c>
      <c r="M12" s="5">
        <v>4.25</v>
      </c>
      <c r="N12" s="5">
        <v>7.625</v>
      </c>
      <c r="R12" s="36" t="s">
        <v>166</v>
      </c>
      <c r="S12" s="18">
        <v>18.494444444444444</v>
      </c>
      <c r="T12" s="20">
        <v>19</v>
      </c>
      <c r="U12" s="20">
        <v>1.2220795852674013</v>
      </c>
      <c r="V12" s="18">
        <v>25.016666666666666</v>
      </c>
      <c r="W12" s="18">
        <v>34.780555555555559</v>
      </c>
      <c r="X12" s="18">
        <v>-8.2727777777777778</v>
      </c>
    </row>
    <row r="13" spans="1:24" x14ac:dyDescent="0.3">
      <c r="A13" s="7" t="s">
        <v>73</v>
      </c>
      <c r="B13" s="5">
        <v>3.75</v>
      </c>
      <c r="C13" s="16">
        <v>18.112500000000001</v>
      </c>
      <c r="D13" s="4">
        <v>0.24334847501622323</v>
      </c>
      <c r="E13" s="5">
        <v>4.25</v>
      </c>
      <c r="F13" s="5">
        <v>7.625</v>
      </c>
      <c r="I13" s="7" t="s">
        <v>47</v>
      </c>
      <c r="J13" s="5">
        <v>5.5555555555555554</v>
      </c>
      <c r="K13" s="16">
        <v>28.962962962962965</v>
      </c>
      <c r="L13" s="4">
        <v>0.37358039450089658</v>
      </c>
      <c r="M13" s="5">
        <v>5.1111111111111107</v>
      </c>
      <c r="N13" s="5">
        <v>6.1111111111111107</v>
      </c>
      <c r="R13" s="30" t="s">
        <v>151</v>
      </c>
      <c r="S13" s="30" t="s">
        <v>161</v>
      </c>
      <c r="T13" s="37" t="s">
        <v>143</v>
      </c>
      <c r="U13" s="30" t="s">
        <v>162</v>
      </c>
      <c r="V13" s="30" t="s">
        <v>155</v>
      </c>
      <c r="W13" s="30" t="s">
        <v>163</v>
      </c>
      <c r="X13" s="30" t="s">
        <v>164</v>
      </c>
    </row>
    <row r="14" spans="1:24" x14ac:dyDescent="0.3">
      <c r="A14" s="7" t="s">
        <v>47</v>
      </c>
      <c r="B14" s="5">
        <v>5.5555555555555554</v>
      </c>
      <c r="C14" s="16">
        <v>28.962962962962965</v>
      </c>
      <c r="D14" s="4">
        <v>0.37358039450089658</v>
      </c>
      <c r="E14" s="5">
        <v>5.1111111111111107</v>
      </c>
      <c r="F14" s="5">
        <v>6.1111111111111107</v>
      </c>
      <c r="I14" s="7" t="s">
        <v>23</v>
      </c>
      <c r="J14" s="5">
        <v>1</v>
      </c>
      <c r="K14" s="16">
        <v>2.25</v>
      </c>
      <c r="L14" s="4">
        <v>0.11764705882352941</v>
      </c>
      <c r="M14" s="5">
        <v>1</v>
      </c>
      <c r="N14" s="5">
        <v>4.5</v>
      </c>
      <c r="R14" s="29" t="s">
        <v>167</v>
      </c>
      <c r="S14" s="18">
        <v>16.894444444444442</v>
      </c>
      <c r="T14" s="20">
        <v>17</v>
      </c>
      <c r="U14" s="20">
        <v>1.355307913731338</v>
      </c>
      <c r="V14" s="18">
        <v>26.083333333333336</v>
      </c>
      <c r="W14" s="18">
        <v>30.180555555555557</v>
      </c>
      <c r="X14" s="18">
        <v>-7.4527777777777775</v>
      </c>
    </row>
    <row r="15" spans="1:24" x14ac:dyDescent="0.3">
      <c r="A15" s="7" t="s">
        <v>55</v>
      </c>
      <c r="B15" s="5">
        <v>5.8888888888888893</v>
      </c>
      <c r="C15" s="16">
        <v>36.223209876543208</v>
      </c>
      <c r="D15" s="4">
        <v>0.36123227917121048</v>
      </c>
      <c r="E15" s="5">
        <v>9.2222222222222214</v>
      </c>
      <c r="F15" s="5">
        <v>6.4444444444444446</v>
      </c>
      <c r="I15" s="7" t="s">
        <v>81</v>
      </c>
      <c r="J15" s="5">
        <v>1.3</v>
      </c>
      <c r="K15" s="16">
        <v>1.7809999999999999</v>
      </c>
      <c r="L15" s="4">
        <v>0.12333965844402277</v>
      </c>
      <c r="M15" s="5">
        <v>3.1</v>
      </c>
      <c r="N15" s="5">
        <v>8.6</v>
      </c>
      <c r="R15" s="30" t="s">
        <v>152</v>
      </c>
      <c r="S15" s="30" t="s">
        <v>161</v>
      </c>
      <c r="T15" s="37" t="s">
        <v>143</v>
      </c>
      <c r="U15" s="30" t="s">
        <v>162</v>
      </c>
      <c r="V15" s="30" t="s">
        <v>155</v>
      </c>
      <c r="W15" s="30" t="s">
        <v>163</v>
      </c>
      <c r="X15" s="30" t="s">
        <v>164</v>
      </c>
    </row>
    <row r="16" spans="1:24" x14ac:dyDescent="0.3">
      <c r="A16" s="7" t="s">
        <v>81</v>
      </c>
      <c r="B16" s="5">
        <v>1.3</v>
      </c>
      <c r="C16" s="16">
        <v>1.7809999999999999</v>
      </c>
      <c r="D16" s="4">
        <v>0.12333965844402277</v>
      </c>
      <c r="E16" s="5">
        <v>3.1</v>
      </c>
      <c r="F16" s="5">
        <v>8.6</v>
      </c>
      <c r="I16" s="7" t="s">
        <v>37</v>
      </c>
      <c r="J16" s="5">
        <v>0</v>
      </c>
      <c r="K16" s="16">
        <v>0</v>
      </c>
      <c r="L16" s="4">
        <v>0</v>
      </c>
      <c r="M16" s="5">
        <v>1.3333333333333333</v>
      </c>
      <c r="N16" s="5">
        <v>1.2222222222222223</v>
      </c>
      <c r="R16" s="36" t="s">
        <v>168</v>
      </c>
      <c r="S16" s="18">
        <v>14.744444444444445</v>
      </c>
      <c r="T16" s="20">
        <v>16</v>
      </c>
      <c r="U16" s="20">
        <v>0.97873111025117798</v>
      </c>
      <c r="V16" s="18">
        <v>22.099999999999998</v>
      </c>
      <c r="W16" s="18">
        <v>28.37777777777778</v>
      </c>
      <c r="X16" s="18">
        <v>-7.3644444444444446</v>
      </c>
    </row>
    <row r="17" spans="1:24" x14ac:dyDescent="0.3">
      <c r="A17" s="7" t="s">
        <v>130</v>
      </c>
      <c r="B17" s="5">
        <v>18.494444444444444</v>
      </c>
      <c r="C17" s="16">
        <v>19.199934567901234</v>
      </c>
      <c r="D17" s="4">
        <v>1.2220795852674013</v>
      </c>
      <c r="E17" s="5">
        <v>25.016666666666666</v>
      </c>
      <c r="F17" s="5">
        <v>34.780555555555559</v>
      </c>
      <c r="I17" s="7" t="s">
        <v>130</v>
      </c>
      <c r="J17" s="5">
        <v>11.605555555555556</v>
      </c>
      <c r="K17" s="16">
        <v>10.221292592592594</v>
      </c>
      <c r="L17" s="4">
        <v>0.85791558678467195</v>
      </c>
      <c r="M17" s="5">
        <v>14.794444444444444</v>
      </c>
      <c r="N17" s="5">
        <v>28.05833333333333</v>
      </c>
      <c r="R17" s="30" t="s">
        <v>153</v>
      </c>
      <c r="S17" s="30" t="s">
        <v>161</v>
      </c>
      <c r="T17" s="37" t="s">
        <v>143</v>
      </c>
      <c r="U17" s="30" t="s">
        <v>162</v>
      </c>
      <c r="V17" s="30" t="s">
        <v>155</v>
      </c>
      <c r="W17" s="30" t="s">
        <v>163</v>
      </c>
      <c r="X17" s="30" t="s">
        <v>164</v>
      </c>
    </row>
    <row r="18" spans="1:24" x14ac:dyDescent="0.3">
      <c r="B18" s="5">
        <v>1</v>
      </c>
      <c r="C18" s="16">
        <v>0.01</v>
      </c>
      <c r="D18" s="16">
        <v>0.02</v>
      </c>
      <c r="E18" s="5">
        <v>2</v>
      </c>
      <c r="F18" s="5">
        <v>6</v>
      </c>
      <c r="G18" s="16">
        <v>0.06</v>
      </c>
      <c r="H18">
        <f>1+1+2+2+6+6</f>
        <v>18</v>
      </c>
      <c r="J18" s="5">
        <v>6</v>
      </c>
      <c r="K18" s="16">
        <v>0.06</v>
      </c>
      <c r="L18" s="16">
        <v>0.06</v>
      </c>
      <c r="M18" s="5">
        <v>6</v>
      </c>
      <c r="N18" s="5">
        <v>2</v>
      </c>
      <c r="O18" s="16">
        <v>0.01</v>
      </c>
      <c r="P18">
        <f>6+6+6+6+2+1</f>
        <v>27</v>
      </c>
      <c r="R18" s="29" t="s">
        <v>169</v>
      </c>
      <c r="S18" s="18">
        <v>11.605555555555556</v>
      </c>
      <c r="T18" s="20">
        <v>10</v>
      </c>
      <c r="U18" s="20">
        <v>0.85791558678467195</v>
      </c>
      <c r="V18" s="18">
        <v>14.794444444444444</v>
      </c>
      <c r="W18" s="18">
        <v>28.05833333333333</v>
      </c>
      <c r="X18" s="18">
        <v>-4.6949999999999994</v>
      </c>
    </row>
    <row r="19" spans="1:24" x14ac:dyDescent="0.3">
      <c r="A19" s="6" t="s">
        <v>151</v>
      </c>
      <c r="B19" t="s">
        <v>142</v>
      </c>
      <c r="C19" t="s">
        <v>146</v>
      </c>
      <c r="D19" t="s">
        <v>148</v>
      </c>
      <c r="E19" t="s">
        <v>158</v>
      </c>
      <c r="F19" t="s">
        <v>157</v>
      </c>
      <c r="I19" s="6" t="s">
        <v>154</v>
      </c>
      <c r="J19" t="s">
        <v>142</v>
      </c>
      <c r="K19" t="s">
        <v>146</v>
      </c>
      <c r="L19" t="s">
        <v>148</v>
      </c>
      <c r="M19" t="s">
        <v>158</v>
      </c>
      <c r="N19" t="s">
        <v>157</v>
      </c>
      <c r="R19" s="30" t="s">
        <v>154</v>
      </c>
      <c r="S19" s="30" t="s">
        <v>161</v>
      </c>
      <c r="T19" s="37" t="s">
        <v>143</v>
      </c>
      <c r="U19" s="30" t="s">
        <v>162</v>
      </c>
      <c r="V19" s="30" t="s">
        <v>155</v>
      </c>
      <c r="W19" s="30" t="s">
        <v>163</v>
      </c>
      <c r="X19" s="30" t="s">
        <v>164</v>
      </c>
    </row>
    <row r="20" spans="1:24" x14ac:dyDescent="0.3">
      <c r="A20" s="7" t="s">
        <v>73</v>
      </c>
      <c r="B20" s="5">
        <v>3.75</v>
      </c>
      <c r="C20" s="16">
        <v>18.112500000000001</v>
      </c>
      <c r="D20" s="4">
        <v>0.24334847501622323</v>
      </c>
      <c r="E20" s="5">
        <v>4.25</v>
      </c>
      <c r="F20" s="5">
        <v>7.625</v>
      </c>
      <c r="I20" s="7" t="s">
        <v>47</v>
      </c>
      <c r="J20" s="5">
        <v>5.5555555555555554</v>
      </c>
      <c r="K20" s="16">
        <v>28.962962962962965</v>
      </c>
      <c r="L20" s="4">
        <v>0.37358039450089658</v>
      </c>
      <c r="M20" s="5">
        <v>5.1111111111111107</v>
      </c>
      <c r="N20" s="5">
        <v>6.1111111111111107</v>
      </c>
      <c r="R20" s="36" t="s">
        <v>170</v>
      </c>
      <c r="S20" s="18">
        <v>13.144444444444446</v>
      </c>
      <c r="T20" s="20">
        <v>13</v>
      </c>
      <c r="U20" s="20">
        <v>1.1119594387151146</v>
      </c>
      <c r="V20" s="18">
        <v>22.944444444444446</v>
      </c>
      <c r="W20" s="18">
        <v>24.777777777777775</v>
      </c>
      <c r="X20" s="18">
        <v>-7.1222222222222218</v>
      </c>
    </row>
    <row r="21" spans="1:24" x14ac:dyDescent="0.3">
      <c r="A21" s="7" t="s">
        <v>47</v>
      </c>
      <c r="B21" s="5">
        <v>5.5555555555555554</v>
      </c>
      <c r="C21" s="16">
        <v>28.962962962962965</v>
      </c>
      <c r="D21" s="4">
        <v>0.37358039450089658</v>
      </c>
      <c r="E21" s="5">
        <v>5.1111111111111107</v>
      </c>
      <c r="F21" s="5">
        <v>6.1111111111111107</v>
      </c>
      <c r="I21" s="7" t="s">
        <v>55</v>
      </c>
      <c r="J21" s="5">
        <v>5.8888888888888893</v>
      </c>
      <c r="K21" s="16">
        <v>36.223209876543208</v>
      </c>
      <c r="L21" s="4">
        <v>0.36123227917121048</v>
      </c>
      <c r="M21" s="5">
        <v>9.2222222222222214</v>
      </c>
      <c r="N21" s="5">
        <v>6.4444444444444446</v>
      </c>
    </row>
    <row r="22" spans="1:24" x14ac:dyDescent="0.3">
      <c r="A22" s="7" t="s">
        <v>55</v>
      </c>
      <c r="B22" s="5">
        <v>5.8888888888888893</v>
      </c>
      <c r="C22" s="16">
        <v>36.223209876543208</v>
      </c>
      <c r="D22" s="4">
        <v>0.36123227917121048</v>
      </c>
      <c r="E22" s="5">
        <v>9.2222222222222214</v>
      </c>
      <c r="F22" s="5">
        <v>6.4444444444444446</v>
      </c>
      <c r="I22" s="7" t="s">
        <v>81</v>
      </c>
      <c r="J22" s="5">
        <v>1.3</v>
      </c>
      <c r="K22" s="16">
        <v>1.7809999999999999</v>
      </c>
      <c r="L22" s="4">
        <v>0.12333965844402277</v>
      </c>
      <c r="M22" s="5">
        <v>3.1</v>
      </c>
      <c r="N22" s="5">
        <v>8.6</v>
      </c>
    </row>
    <row r="23" spans="1:24" x14ac:dyDescent="0.3">
      <c r="A23" s="7" t="s">
        <v>81</v>
      </c>
      <c r="B23" s="5">
        <v>1.3</v>
      </c>
      <c r="C23" s="16">
        <v>1.7809999999999999</v>
      </c>
      <c r="D23" s="4">
        <v>0.12333965844402277</v>
      </c>
      <c r="E23" s="5">
        <v>3.1</v>
      </c>
      <c r="F23" s="5">
        <v>8.6</v>
      </c>
      <c r="I23" s="7" t="s">
        <v>95</v>
      </c>
      <c r="J23" s="5">
        <v>0.4</v>
      </c>
      <c r="K23" s="16">
        <v>0.43520000000000003</v>
      </c>
      <c r="L23" s="4">
        <v>0.25380710659898476</v>
      </c>
      <c r="M23" s="5">
        <v>4.4000000000000004</v>
      </c>
      <c r="N23" s="5">
        <v>1.4</v>
      </c>
    </row>
    <row r="24" spans="1:24" x14ac:dyDescent="0.3">
      <c r="A24" s="7" t="s">
        <v>95</v>
      </c>
      <c r="B24" s="5">
        <v>0.4</v>
      </c>
      <c r="C24" s="16">
        <v>0.43520000000000003</v>
      </c>
      <c r="D24" s="4">
        <v>0.25380710659898476</v>
      </c>
      <c r="E24" s="5">
        <v>4.4000000000000004</v>
      </c>
      <c r="F24" s="5">
        <v>1.4</v>
      </c>
      <c r="I24" s="7" t="s">
        <v>89</v>
      </c>
      <c r="J24" s="5">
        <v>0</v>
      </c>
      <c r="K24" s="16">
        <v>0</v>
      </c>
      <c r="L24" s="4">
        <v>0</v>
      </c>
      <c r="M24" s="5">
        <v>1.1111111111111112</v>
      </c>
      <c r="N24" s="5">
        <v>2.2222222222222223</v>
      </c>
    </row>
    <row r="25" spans="1:24" x14ac:dyDescent="0.3">
      <c r="A25" s="7" t="s">
        <v>130</v>
      </c>
      <c r="B25" s="5">
        <v>16.894444444444442</v>
      </c>
      <c r="C25" s="16">
        <v>17.102974567901235</v>
      </c>
      <c r="D25" s="4">
        <v>1.355307913731338</v>
      </c>
      <c r="E25" s="5">
        <v>26.083333333333336</v>
      </c>
      <c r="F25" s="5">
        <v>30.180555555555557</v>
      </c>
      <c r="I25" s="7" t="s">
        <v>130</v>
      </c>
      <c r="J25" s="5">
        <v>13.144444444444446</v>
      </c>
      <c r="K25" s="16">
        <v>13.480474567901235</v>
      </c>
      <c r="L25" s="4">
        <v>1.1119594387151146</v>
      </c>
      <c r="M25" s="5">
        <v>22.944444444444446</v>
      </c>
      <c r="N25" s="5">
        <v>24.777777777777775</v>
      </c>
    </row>
    <row r="26" spans="1:24" x14ac:dyDescent="0.3">
      <c r="B26" s="5">
        <v>2</v>
      </c>
      <c r="C26" s="16">
        <v>0.02</v>
      </c>
      <c r="D26" s="16">
        <v>0.01</v>
      </c>
      <c r="E26" s="5">
        <v>1</v>
      </c>
      <c r="F26" s="5">
        <v>5</v>
      </c>
      <c r="G26" s="16">
        <v>0.04</v>
      </c>
      <c r="H26">
        <f>2+2+1+1+5+4</f>
        <v>15</v>
      </c>
      <c r="J26" s="5">
        <v>4</v>
      </c>
      <c r="K26" s="16">
        <v>0.04</v>
      </c>
      <c r="L26" s="16">
        <v>0.03</v>
      </c>
      <c r="M26" s="5">
        <v>3</v>
      </c>
      <c r="N26" s="5">
        <v>1</v>
      </c>
      <c r="O26" s="16">
        <v>0.02</v>
      </c>
      <c r="P26">
        <f>4+4+3+3+1+2</f>
        <v>17</v>
      </c>
    </row>
  </sheetData>
  <pageMargins left="0.511811024" right="0.511811024" top="0.78740157499999996" bottom="0.78740157499999996" header="0.31496062000000002" footer="0.31496062000000002"/>
  <drawing r:id="rId7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674B-E522-4AD0-87A2-E5D27AF8A23C}">
  <dimension ref="A1:AJ14"/>
  <sheetViews>
    <sheetView topLeftCell="V1" workbookViewId="0">
      <selection activeCell="AI21" sqref="AI21"/>
    </sheetView>
  </sheetViews>
  <sheetFormatPr defaultRowHeight="14.4" x14ac:dyDescent="0.3"/>
  <cols>
    <col min="1" max="1" width="7.77734375" bestFit="1" customWidth="1"/>
    <col min="2" max="2" width="13.44140625" bestFit="1" customWidth="1"/>
    <col min="3" max="25" width="7.77734375" customWidth="1"/>
    <col min="34" max="34" width="9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111</v>
      </c>
      <c r="J1" s="1" t="s">
        <v>112</v>
      </c>
      <c r="K1" t="s">
        <v>8</v>
      </c>
      <c r="L1" t="s">
        <v>9</v>
      </c>
      <c r="M1" t="s">
        <v>113</v>
      </c>
      <c r="N1" t="s">
        <v>114</v>
      </c>
      <c r="O1" t="s">
        <v>10</v>
      </c>
      <c r="P1" t="s">
        <v>11</v>
      </c>
      <c r="Q1" t="s">
        <v>115</v>
      </c>
      <c r="R1" t="s">
        <v>116</v>
      </c>
      <c r="S1" t="s">
        <v>12</v>
      </c>
      <c r="T1" t="s">
        <v>13</v>
      </c>
      <c r="U1" t="s">
        <v>117</v>
      </c>
      <c r="V1" t="s">
        <v>118</v>
      </c>
      <c r="W1" t="s">
        <v>14</v>
      </c>
      <c r="X1" t="s">
        <v>155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156</v>
      </c>
      <c r="AE1" t="s">
        <v>20</v>
      </c>
      <c r="AF1" t="s">
        <v>21</v>
      </c>
      <c r="AG1" t="s">
        <v>160</v>
      </c>
      <c r="AH1" s="4" t="s">
        <v>143</v>
      </c>
      <c r="AI1" t="s">
        <v>144</v>
      </c>
      <c r="AJ1" t="s">
        <v>147</v>
      </c>
    </row>
    <row r="2" spans="1:36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F2" s="5">
        <f>MédiaVGBB25[[#This Row],[PTS]]/MédiaVGBB25[[#This Row],[GP]]</f>
        <v>1</v>
      </c>
      <c r="G2" t="s">
        <v>26</v>
      </c>
      <c r="H2" t="s">
        <v>27</v>
      </c>
      <c r="I2">
        <v>1</v>
      </c>
      <c r="J2" s="1">
        <f>MédiaVGBB25[[#This Row],[FGM]]/MédiaVGBB25[[#This Row],[FGA]]</f>
        <v>0.1111111111111111</v>
      </c>
      <c r="K2" t="s">
        <v>28</v>
      </c>
      <c r="L2" t="s">
        <v>29</v>
      </c>
      <c r="M2">
        <v>1</v>
      </c>
      <c r="N2" s="1">
        <f>MédiaVGBB25[[#This Row],[2PM]]/MédiaVGBB25[[#This Row],[2PA]]</f>
        <v>0.25</v>
      </c>
      <c r="O2" t="s">
        <v>30</v>
      </c>
      <c r="P2" t="s">
        <v>31</v>
      </c>
      <c r="Q2">
        <v>0</v>
      </c>
      <c r="R2" s="1">
        <f>MédiaVGBB25[[#This Row],[3PTM]]/MédiaVGBB25[[#This Row],[3PA]]</f>
        <v>0</v>
      </c>
      <c r="S2" t="s">
        <v>32</v>
      </c>
      <c r="T2" t="s">
        <v>33</v>
      </c>
      <c r="U2">
        <v>0</v>
      </c>
      <c r="V2" s="1" t="e">
        <f>MédiaVGBB25[[#This Row],[FTM]]/MédiaVGBB25[[#This Row],[FTA]]</f>
        <v>#DIV/0!</v>
      </c>
      <c r="W2" t="s">
        <v>25</v>
      </c>
      <c r="X2" s="5">
        <f>MédiaVGBB25[[#This Row],[REB]]/MédiaVGBB25[[#This Row],[GP]]</f>
        <v>1</v>
      </c>
      <c r="Y2" t="s">
        <v>34</v>
      </c>
      <c r="Z2" t="s">
        <v>34</v>
      </c>
      <c r="AA2" t="s">
        <v>33</v>
      </c>
      <c r="AB2" t="s">
        <v>33</v>
      </c>
      <c r="AC2" t="s">
        <v>27</v>
      </c>
      <c r="AD2" s="5">
        <f>MédiaVGBB25[[#This Row],[TO]]/MédiaVGBB25[[#This Row],[GP]]</f>
        <v>4.5</v>
      </c>
      <c r="AE2" t="s">
        <v>35</v>
      </c>
      <c r="AF2" t="s">
        <v>36</v>
      </c>
      <c r="AG2" s="5">
        <f>MédiaVGBB25[[#This Row],[+ / -]]/MédiaVGBB25[[#This Row],[GP]]</f>
        <v>-3</v>
      </c>
      <c r="AH2" s="38">
        <f>(MédiaVGBB25[[#This Row],[PPG]]/2)*((MédiaVGBB25[[#This Row],[FGA]]/MédiaVGBB25[[#This Row],[GP]])+((0.44)*(MédiaVGBB25[[#This Row],[FTA]]/MédiaVGBB25[[#This Row],[GP]])))</f>
        <v>2.25</v>
      </c>
      <c r="AI2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11.76470588235294</v>
      </c>
      <c r="AJ2" s="4">
        <f>MédiaVGBB25[[#This Row],[PTS]]/(MédiaVGBB25[[#This Row],[FGA]]+MédiaVGBB25[[#This Row],[TO]]-MédiaVGBB25[[#This Row],[OR]]+(0.44*MédiaVGBB25[[#This Row],[FTA]]))</f>
        <v>0.11764705882352941</v>
      </c>
    </row>
    <row r="3" spans="1:36" x14ac:dyDescent="0.3">
      <c r="A3" t="s">
        <v>22</v>
      </c>
      <c r="B3" t="s">
        <v>37</v>
      </c>
      <c r="C3" t="s">
        <v>29</v>
      </c>
      <c r="D3" t="s">
        <v>27</v>
      </c>
      <c r="E3" t="s">
        <v>33</v>
      </c>
      <c r="F3" s="5">
        <f>MédiaVGBB25[[#This Row],[PTS]]/MédiaVGBB25[[#This Row],[GP]]</f>
        <v>0</v>
      </c>
      <c r="G3" t="s">
        <v>38</v>
      </c>
      <c r="H3" t="s">
        <v>39</v>
      </c>
      <c r="I3">
        <v>0</v>
      </c>
      <c r="J3" s="1">
        <f>MédiaVGBB25[[#This Row],[FGM]]/MédiaVGBB25[[#This Row],[FGA]]</f>
        <v>0</v>
      </c>
      <c r="K3" t="s">
        <v>40</v>
      </c>
      <c r="L3" t="s">
        <v>27</v>
      </c>
      <c r="M3">
        <v>0</v>
      </c>
      <c r="N3" s="1">
        <f>MédiaVGBB25[[#This Row],[2PM]]/MédiaVGBB25[[#This Row],[2PA]]</f>
        <v>0</v>
      </c>
      <c r="O3" t="s">
        <v>41</v>
      </c>
      <c r="P3" t="s">
        <v>25</v>
      </c>
      <c r="Q3">
        <v>0</v>
      </c>
      <c r="R3" s="1">
        <f>MédiaVGBB25[[#This Row],[3PTM]]/MédiaVGBB25[[#This Row],[3PA]]</f>
        <v>0</v>
      </c>
      <c r="S3" t="s">
        <v>41</v>
      </c>
      <c r="T3" t="s">
        <v>25</v>
      </c>
      <c r="U3">
        <v>0</v>
      </c>
      <c r="V3" s="1">
        <f>MédiaVGBB25[[#This Row],[FTM]]/MédiaVGBB25[[#This Row],[FTA]]</f>
        <v>0</v>
      </c>
      <c r="W3" t="s">
        <v>42</v>
      </c>
      <c r="X3" s="5">
        <f>MédiaVGBB25[[#This Row],[REB]]/MédiaVGBB25[[#This Row],[GP]]</f>
        <v>1.3333333333333333</v>
      </c>
      <c r="Y3" t="s">
        <v>43</v>
      </c>
      <c r="Z3" t="s">
        <v>31</v>
      </c>
      <c r="AA3" t="s">
        <v>34</v>
      </c>
      <c r="AB3" t="s">
        <v>43</v>
      </c>
      <c r="AC3" t="s">
        <v>39</v>
      </c>
      <c r="AD3" s="5">
        <f>MédiaVGBB25[[#This Row],[TO]]/MédiaVGBB25[[#This Row],[GP]]</f>
        <v>1.2222222222222223</v>
      </c>
      <c r="AE3" t="s">
        <v>44</v>
      </c>
      <c r="AF3" t="s">
        <v>45</v>
      </c>
      <c r="AG3" s="5">
        <f>MédiaVGBB25[[#This Row],[+ / -]]/MédiaVGBB25[[#This Row],[GP]]</f>
        <v>-2.3333333333333335</v>
      </c>
      <c r="AH3" s="38">
        <f>(MédiaVGBB25[[#This Row],[PPG]]/2)*((MédiaVGBB25[[#This Row],[FGA]]/MédiaVGBB25[[#This Row],[GP]])+((0.44)*(MédiaVGBB25[[#This Row],[FTA]]/MédiaVGBB25[[#This Row],[GP]])))</f>
        <v>0</v>
      </c>
      <c r="AI3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6.2972292191435759</v>
      </c>
      <c r="AJ3" s="4">
        <f>MédiaVGBB25[[#This Row],[PTS]]/(MédiaVGBB25[[#This Row],[FGA]]+MédiaVGBB25[[#This Row],[TO]]-MédiaVGBB25[[#This Row],[OR]]+(0.44*MédiaVGBB25[[#This Row],[FTA]]))</f>
        <v>0</v>
      </c>
    </row>
    <row r="4" spans="1:36" x14ac:dyDescent="0.3">
      <c r="A4" t="s">
        <v>22</v>
      </c>
      <c r="B4" t="s">
        <v>46</v>
      </c>
      <c r="C4" t="s">
        <v>31</v>
      </c>
      <c r="D4" t="s">
        <v>25</v>
      </c>
      <c r="E4">
        <v>2</v>
      </c>
      <c r="F4" s="5">
        <f>MédiaVGBB25[[#This Row],[PTS]]/MédiaVGBB25[[#This Row],[GP]]</f>
        <v>1</v>
      </c>
      <c r="G4" t="s">
        <v>26</v>
      </c>
      <c r="H4" t="s">
        <v>27</v>
      </c>
      <c r="I4">
        <v>1</v>
      </c>
      <c r="J4" s="1">
        <f>MédiaVGBB25[[#This Row],[FGM]]/MédiaVGBB25[[#This Row],[FGA]]</f>
        <v>0.1111111111111111</v>
      </c>
      <c r="K4" t="s">
        <v>26</v>
      </c>
      <c r="L4" t="s">
        <v>27</v>
      </c>
      <c r="M4">
        <v>1</v>
      </c>
      <c r="N4" s="1">
        <f>MédiaVGBB25[[#This Row],[2PM]]/MédiaVGBB25[[#This Row],[2PA]]</f>
        <v>0.1111111111111111</v>
      </c>
      <c r="O4" t="s">
        <v>32</v>
      </c>
      <c r="P4" t="s">
        <v>33</v>
      </c>
      <c r="Q4">
        <v>0</v>
      </c>
      <c r="R4" s="1" t="e">
        <f>MédiaVGBB25[[#This Row],[3PTM]]/MédiaVGBB25[[#This Row],[3PA]]</f>
        <v>#DIV/0!</v>
      </c>
      <c r="S4" t="s">
        <v>32</v>
      </c>
      <c r="T4" t="s">
        <v>33</v>
      </c>
      <c r="U4">
        <v>0</v>
      </c>
      <c r="V4" s="1" t="e">
        <f>MédiaVGBB25[[#This Row],[FTM]]/MédiaVGBB25[[#This Row],[FTA]]</f>
        <v>#DIV/0!</v>
      </c>
      <c r="W4">
        <v>2</v>
      </c>
      <c r="X4" s="5">
        <f>MédiaVGBB25[[#This Row],[REB]]/MédiaVGBB25[[#This Row],[GP]]</f>
        <v>1</v>
      </c>
      <c r="Y4">
        <v>1</v>
      </c>
      <c r="Z4">
        <v>1</v>
      </c>
      <c r="AA4">
        <v>0</v>
      </c>
      <c r="AB4">
        <v>2</v>
      </c>
      <c r="AC4">
        <v>6</v>
      </c>
      <c r="AD4" s="5">
        <f>MédiaVGBB25[[#This Row],[TO]]/MédiaVGBB25[[#This Row],[GP]]</f>
        <v>3</v>
      </c>
      <c r="AE4">
        <v>-8</v>
      </c>
      <c r="AF4">
        <v>-15</v>
      </c>
      <c r="AG4" s="5">
        <f>MédiaVGBB25[[#This Row],[+ / -]]/MédiaVGBB25[[#This Row],[GP]]</f>
        <v>-7.5</v>
      </c>
      <c r="AH4" s="38">
        <f>(MédiaVGBB25[[#This Row],[PPG]]/2)*((MédiaVGBB25[[#This Row],[FGA]]/MédiaVGBB25[[#This Row],[GP]])+((0.44)*(MédiaVGBB25[[#This Row],[FTA]]/MédiaVGBB25[[#This Row],[GP]])))</f>
        <v>2.25</v>
      </c>
      <c r="AI4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14.285714285714285</v>
      </c>
      <c r="AJ4" s="4">
        <f>MédiaVGBB25[[#This Row],[PTS]]/(MédiaVGBB25[[#This Row],[FGA]]+MédiaVGBB25[[#This Row],[TO]]-MédiaVGBB25[[#This Row],[OR]]+(0.44*MédiaVGBB25[[#This Row],[FTA]]))</f>
        <v>0.14285714285714285</v>
      </c>
    </row>
    <row r="5" spans="1:36" x14ac:dyDescent="0.3">
      <c r="A5" t="s">
        <v>22</v>
      </c>
      <c r="B5" t="s">
        <v>47</v>
      </c>
      <c r="C5" t="s">
        <v>43</v>
      </c>
      <c r="D5" t="s">
        <v>27</v>
      </c>
      <c r="E5">
        <v>50</v>
      </c>
      <c r="F5" s="5">
        <f>MédiaVGBB25[[#This Row],[PTS]]/MédiaVGBB25[[#This Row],[GP]]</f>
        <v>5.5555555555555554</v>
      </c>
      <c r="G5" t="s">
        <v>48</v>
      </c>
      <c r="H5" t="s">
        <v>49</v>
      </c>
      <c r="I5">
        <v>23</v>
      </c>
      <c r="J5" s="1">
        <f>MédiaVGBB25[[#This Row],[FGM]]/MédiaVGBB25[[#This Row],[FGA]]</f>
        <v>0.25842696629213485</v>
      </c>
      <c r="K5" t="s">
        <v>50</v>
      </c>
      <c r="L5" t="s">
        <v>51</v>
      </c>
      <c r="M5">
        <v>23</v>
      </c>
      <c r="N5" s="1">
        <f>MédiaVGBB25[[#This Row],[2PM]]/MédiaVGBB25[[#This Row],[2PA]]</f>
        <v>0.29113924050632911</v>
      </c>
      <c r="O5" t="s">
        <v>52</v>
      </c>
      <c r="P5" t="s">
        <v>53</v>
      </c>
      <c r="Q5">
        <v>0</v>
      </c>
      <c r="R5" s="1">
        <f>MédiaVGBB25[[#This Row],[3PTM]]/MédiaVGBB25[[#This Row],[3PA]]</f>
        <v>0</v>
      </c>
      <c r="S5" t="s">
        <v>54</v>
      </c>
      <c r="T5" t="s">
        <v>39</v>
      </c>
      <c r="U5">
        <v>4</v>
      </c>
      <c r="V5" s="1">
        <f>MédiaVGBB25[[#This Row],[FTM]]/MédiaVGBB25[[#This Row],[FTA]]</f>
        <v>0.36363636363636365</v>
      </c>
      <c r="W5">
        <v>46</v>
      </c>
      <c r="X5" s="5">
        <f>MédiaVGBB25[[#This Row],[REB]]/MédiaVGBB25[[#This Row],[GP]]</f>
        <v>5.1111111111111107</v>
      </c>
      <c r="Y5">
        <v>15</v>
      </c>
      <c r="Z5">
        <v>31</v>
      </c>
      <c r="AA5">
        <v>10</v>
      </c>
      <c r="AB5">
        <v>44</v>
      </c>
      <c r="AC5">
        <v>55</v>
      </c>
      <c r="AD5" s="5">
        <f>MédiaVGBB25[[#This Row],[TO]]/MédiaVGBB25[[#This Row],[GP]]</f>
        <v>6.1111111111111107</v>
      </c>
      <c r="AE5">
        <v>19</v>
      </c>
      <c r="AF5">
        <v>-60</v>
      </c>
      <c r="AG5" s="5">
        <f>MédiaVGBB25[[#This Row],[+ / -]]/MédiaVGBB25[[#This Row],[GP]]</f>
        <v>-6.666666666666667</v>
      </c>
      <c r="AH5" s="38">
        <f>(MédiaVGBB25[[#This Row],[PPG]]/2)*((MédiaVGBB25[[#This Row],[FGA]]/MédiaVGBB25[[#This Row],[GP]])+((0.44)*(MédiaVGBB25[[#This Row],[FTA]]/MédiaVGBB25[[#This Row],[GP]])))</f>
        <v>28.962962962962965</v>
      </c>
      <c r="AI5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44.829647340107584</v>
      </c>
      <c r="AJ5" s="4">
        <f>MédiaVGBB25[[#This Row],[PTS]]/(MédiaVGBB25[[#This Row],[FGA]]+MédiaVGBB25[[#This Row],[TO]]-MédiaVGBB25[[#This Row],[OR]]+(0.44*MédiaVGBB25[[#This Row],[FTA]]))</f>
        <v>0.37358039450089658</v>
      </c>
    </row>
    <row r="6" spans="1:36" x14ac:dyDescent="0.3">
      <c r="A6" t="s">
        <v>22</v>
      </c>
      <c r="B6" t="s">
        <v>55</v>
      </c>
      <c r="C6" t="s">
        <v>56</v>
      </c>
      <c r="D6" t="s">
        <v>27</v>
      </c>
      <c r="E6">
        <v>53</v>
      </c>
      <c r="F6" s="5">
        <f>MédiaVGBB25[[#This Row],[PTS]]/MédiaVGBB25[[#This Row],[GP]]</f>
        <v>5.8888888888888893</v>
      </c>
      <c r="G6" t="s">
        <v>57</v>
      </c>
      <c r="H6" t="s">
        <v>58</v>
      </c>
      <c r="I6">
        <v>24</v>
      </c>
      <c r="J6" s="1">
        <f>MédiaVGBB25[[#This Row],[FGM]]/MédiaVGBB25[[#This Row],[FGA]]</f>
        <v>0.22857142857142856</v>
      </c>
      <c r="K6" t="s">
        <v>59</v>
      </c>
      <c r="L6" t="s">
        <v>60</v>
      </c>
      <c r="M6">
        <v>21</v>
      </c>
      <c r="N6" s="1">
        <f>MédiaVGBB25[[#This Row],[2PM]]/MédiaVGBB25[[#This Row],[2PA]]</f>
        <v>0.26923076923076922</v>
      </c>
      <c r="O6" t="s">
        <v>61</v>
      </c>
      <c r="P6" t="s">
        <v>62</v>
      </c>
      <c r="Q6">
        <v>3</v>
      </c>
      <c r="R6" s="1">
        <f>MédiaVGBB25[[#This Row],[3PTM]]/MédiaVGBB25[[#This Row],[3PA]]</f>
        <v>0.1111111111111111</v>
      </c>
      <c r="S6" t="s">
        <v>63</v>
      </c>
      <c r="T6" t="s">
        <v>64</v>
      </c>
      <c r="U6">
        <v>2</v>
      </c>
      <c r="V6" s="1">
        <f>MédiaVGBB25[[#This Row],[FTM]]/MédiaVGBB25[[#This Row],[FTA]]</f>
        <v>0.15384615384615385</v>
      </c>
      <c r="W6">
        <v>83</v>
      </c>
      <c r="X6" s="5">
        <f>MédiaVGBB25[[#This Row],[REB]]/MédiaVGBB25[[#This Row],[GP]]</f>
        <v>9.2222222222222214</v>
      </c>
      <c r="Y6">
        <v>22</v>
      </c>
      <c r="Z6">
        <v>61</v>
      </c>
      <c r="AA6">
        <v>6</v>
      </c>
      <c r="AB6">
        <v>24</v>
      </c>
      <c r="AC6">
        <v>58</v>
      </c>
      <c r="AD6" s="5">
        <f>MédiaVGBB25[[#This Row],[TO]]/MédiaVGBB25[[#This Row],[GP]]</f>
        <v>6.4444444444444446</v>
      </c>
      <c r="AE6">
        <v>12</v>
      </c>
      <c r="AF6">
        <v>-92</v>
      </c>
      <c r="AG6" s="5">
        <f>MédiaVGBB25[[#This Row],[+ / -]]/MédiaVGBB25[[#This Row],[GP]]</f>
        <v>-10.222222222222221</v>
      </c>
      <c r="AH6" s="38">
        <f>(MédiaVGBB25[[#This Row],[PPG]]/2)*((MédiaVGBB25[[#This Row],[FGA]]/MédiaVGBB25[[#This Row],[GP]])+((0.44)*(MédiaVGBB25[[#This Row],[FTA]]/MédiaVGBB25[[#This Row],[GP]])))</f>
        <v>36.223209876543208</v>
      </c>
      <c r="AI6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40.894220283533258</v>
      </c>
      <c r="AJ6" s="4">
        <f>MédiaVGBB25[[#This Row],[PTS]]/(MédiaVGBB25[[#This Row],[FGA]]+MédiaVGBB25[[#This Row],[TO]]-MédiaVGBB25[[#This Row],[OR]]+(0.44*MédiaVGBB25[[#This Row],[FTA]]))</f>
        <v>0.36123227917121048</v>
      </c>
    </row>
    <row r="7" spans="1:36" x14ac:dyDescent="0.3">
      <c r="A7" t="s">
        <v>22</v>
      </c>
      <c r="B7" t="s">
        <v>65</v>
      </c>
      <c r="C7" t="s">
        <v>27</v>
      </c>
      <c r="D7" t="s">
        <v>34</v>
      </c>
      <c r="E7">
        <v>0</v>
      </c>
      <c r="F7" s="5">
        <f>MédiaVGBB25[[#This Row],[PTS]]/MédiaVGBB25[[#This Row],[GP]]</f>
        <v>0</v>
      </c>
      <c r="G7" t="s">
        <v>32</v>
      </c>
      <c r="H7" t="s">
        <v>33</v>
      </c>
      <c r="I7">
        <v>0</v>
      </c>
      <c r="J7" s="1" t="e">
        <f>MédiaVGBB25[[#This Row],[FGM]]/MédiaVGBB25[[#This Row],[FGA]]</f>
        <v>#DIV/0!</v>
      </c>
      <c r="K7" t="s">
        <v>32</v>
      </c>
      <c r="L7" t="s">
        <v>33</v>
      </c>
      <c r="M7">
        <v>0</v>
      </c>
      <c r="N7" s="1" t="e">
        <f>MédiaVGBB25[[#This Row],[2PM]]/MédiaVGBB25[[#This Row],[2PA]]</f>
        <v>#DIV/0!</v>
      </c>
      <c r="O7" t="s">
        <v>32</v>
      </c>
      <c r="P7" t="s">
        <v>33</v>
      </c>
      <c r="Q7">
        <v>0</v>
      </c>
      <c r="R7" s="1" t="e">
        <f>MédiaVGBB25[[#This Row],[3PTM]]/MédiaVGBB25[[#This Row],[3PA]]</f>
        <v>#DIV/0!</v>
      </c>
      <c r="S7" t="s">
        <v>32</v>
      </c>
      <c r="T7" t="s">
        <v>33</v>
      </c>
      <c r="U7">
        <v>0</v>
      </c>
      <c r="V7" s="1" t="e">
        <f>MédiaVGBB25[[#This Row],[FTM]]/MédiaVGBB25[[#This Row],[FTA]]</f>
        <v>#DIV/0!</v>
      </c>
      <c r="W7">
        <v>0</v>
      </c>
      <c r="X7" s="5">
        <f>MédiaVGBB25[[#This Row],[REB]]/MédiaVGBB25[[#This Row],[GP]]</f>
        <v>0</v>
      </c>
      <c r="Y7">
        <v>0</v>
      </c>
      <c r="Z7">
        <v>0</v>
      </c>
      <c r="AA7">
        <v>0</v>
      </c>
      <c r="AB7">
        <v>0</v>
      </c>
      <c r="AC7">
        <v>0</v>
      </c>
      <c r="AD7" s="5">
        <f>MédiaVGBB25[[#This Row],[TO]]/MédiaVGBB25[[#This Row],[GP]]</f>
        <v>0</v>
      </c>
      <c r="AE7">
        <v>0</v>
      </c>
      <c r="AF7">
        <v>0</v>
      </c>
      <c r="AG7" s="5">
        <f>MédiaVGBB25[[#This Row],[+ / -]]/MédiaVGBB25[[#This Row],[GP]]</f>
        <v>0</v>
      </c>
      <c r="AH7" s="38">
        <f>(MédiaVGBB25[[#This Row],[PPG]]/2)*((MédiaVGBB25[[#This Row],[FGA]]/MédiaVGBB25[[#This Row],[GP]])+((0.44)*(MédiaVGBB25[[#This Row],[FTA]]/MédiaVGBB25[[#This Row],[GP]])))</f>
        <v>0</v>
      </c>
      <c r="AI7" s="4" t="e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#DIV/0!</v>
      </c>
      <c r="AJ7" s="4" t="e">
        <f>MédiaVGBB25[[#This Row],[PTS]]/(MédiaVGBB25[[#This Row],[FGA]]+MédiaVGBB25[[#This Row],[TO]]-MédiaVGBB25[[#This Row],[OR]]+(0.44*MédiaVGBB25[[#This Row],[FTA]]))</f>
        <v>#DIV/0!</v>
      </c>
    </row>
    <row r="8" spans="1:36" x14ac:dyDescent="0.3">
      <c r="A8" t="s">
        <v>22</v>
      </c>
      <c r="B8" t="s">
        <v>66</v>
      </c>
      <c r="C8" t="s">
        <v>53</v>
      </c>
      <c r="D8" t="s">
        <v>24</v>
      </c>
      <c r="E8">
        <v>6</v>
      </c>
      <c r="F8" s="5">
        <f>MédiaVGBB25[[#This Row],[PTS]]/MédiaVGBB25[[#This Row],[GP]]</f>
        <v>2</v>
      </c>
      <c r="G8" t="s">
        <v>67</v>
      </c>
      <c r="H8" t="s">
        <v>68</v>
      </c>
      <c r="I8">
        <v>2</v>
      </c>
      <c r="J8" s="1">
        <f>MédiaVGBB25[[#This Row],[FGM]]/MédiaVGBB25[[#This Row],[FGA]]</f>
        <v>6.4516129032258063E-2</v>
      </c>
      <c r="K8" t="s">
        <v>63</v>
      </c>
      <c r="L8" t="s">
        <v>64</v>
      </c>
      <c r="M8">
        <v>2</v>
      </c>
      <c r="N8" s="1">
        <f>MédiaVGBB25[[#This Row],[2PM]]/MédiaVGBB25[[#This Row],[2PA]]</f>
        <v>0.15384615384615385</v>
      </c>
      <c r="O8" t="s">
        <v>69</v>
      </c>
      <c r="P8" t="s">
        <v>70</v>
      </c>
      <c r="Q8">
        <v>0</v>
      </c>
      <c r="R8" s="1">
        <f>MédiaVGBB25[[#This Row],[3PTM]]/MédiaVGBB25[[#This Row],[3PA]]</f>
        <v>0</v>
      </c>
      <c r="S8" t="s">
        <v>71</v>
      </c>
      <c r="T8" t="s">
        <v>29</v>
      </c>
      <c r="U8">
        <v>2</v>
      </c>
      <c r="V8" s="1">
        <f>MédiaVGBB25[[#This Row],[FTM]]/MédiaVGBB25[[#This Row],[FTA]]</f>
        <v>0.5</v>
      </c>
      <c r="W8">
        <v>10</v>
      </c>
      <c r="X8" s="5">
        <f>MédiaVGBB25[[#This Row],[REB]]/MédiaVGBB25[[#This Row],[GP]]</f>
        <v>3.3333333333333335</v>
      </c>
      <c r="Y8">
        <v>1</v>
      </c>
      <c r="Z8">
        <v>9</v>
      </c>
      <c r="AA8">
        <v>0</v>
      </c>
      <c r="AB8">
        <v>4</v>
      </c>
      <c r="AC8">
        <v>18</v>
      </c>
      <c r="AD8" s="5">
        <f>MédiaVGBB25[[#This Row],[TO]]/MédiaVGBB25[[#This Row],[GP]]</f>
        <v>6</v>
      </c>
      <c r="AE8">
        <v>-31</v>
      </c>
      <c r="AF8">
        <v>-39</v>
      </c>
      <c r="AG8" s="5">
        <f>MédiaVGBB25[[#This Row],[+ / -]]/MédiaVGBB25[[#This Row],[GP]]</f>
        <v>-13</v>
      </c>
      <c r="AH8" s="38">
        <f>(MédiaVGBB25[[#This Row],[PPG]]/2)*((MédiaVGBB25[[#This Row],[FGA]]/MédiaVGBB25[[#This Row],[GP]])+((0.44)*(MédiaVGBB25[[#This Row],[FTA]]/MédiaVGBB25[[#This Row],[GP]])))</f>
        <v>10.92</v>
      </c>
      <c r="AI8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12.05787781350482</v>
      </c>
      <c r="AJ8" s="4">
        <f>MédiaVGBB25[[#This Row],[PTS]]/(MédiaVGBB25[[#This Row],[FGA]]+MédiaVGBB25[[#This Row],[TO]]-MédiaVGBB25[[#This Row],[OR]]+(0.44*MédiaVGBB25[[#This Row],[FTA]]))</f>
        <v>0.12057877813504823</v>
      </c>
    </row>
    <row r="9" spans="1:36" x14ac:dyDescent="0.3">
      <c r="A9" t="s">
        <v>22</v>
      </c>
      <c r="B9" t="s">
        <v>72</v>
      </c>
      <c r="C9" t="s">
        <v>39</v>
      </c>
      <c r="D9" t="s">
        <v>25</v>
      </c>
      <c r="E9">
        <v>0</v>
      </c>
      <c r="F9" s="5">
        <f>MédiaVGBB25[[#This Row],[PTS]]/MédiaVGBB25[[#This Row],[GP]]</f>
        <v>0</v>
      </c>
      <c r="G9" t="s">
        <v>32</v>
      </c>
      <c r="H9" t="s">
        <v>33</v>
      </c>
      <c r="I9">
        <v>0</v>
      </c>
      <c r="J9" s="1" t="e">
        <f>MédiaVGBB25[[#This Row],[FGM]]/MédiaVGBB25[[#This Row],[FGA]]</f>
        <v>#DIV/0!</v>
      </c>
      <c r="K9" t="s">
        <v>32</v>
      </c>
      <c r="L9" t="s">
        <v>33</v>
      </c>
      <c r="M9">
        <v>0</v>
      </c>
      <c r="N9" s="1" t="e">
        <f>MédiaVGBB25[[#This Row],[2PM]]/MédiaVGBB25[[#This Row],[2PA]]</f>
        <v>#DIV/0!</v>
      </c>
      <c r="O9" t="s">
        <v>32</v>
      </c>
      <c r="P9" t="s">
        <v>33</v>
      </c>
      <c r="Q9">
        <v>0</v>
      </c>
      <c r="R9" s="1" t="e">
        <f>MédiaVGBB25[[#This Row],[3PTM]]/MédiaVGBB25[[#This Row],[3PA]]</f>
        <v>#DIV/0!</v>
      </c>
      <c r="S9" t="s">
        <v>32</v>
      </c>
      <c r="T9" t="s">
        <v>33</v>
      </c>
      <c r="U9">
        <v>0</v>
      </c>
      <c r="V9" s="1" t="e">
        <f>MédiaVGBB25[[#This Row],[FTM]]/MédiaVGBB25[[#This Row],[FTA]]</f>
        <v>#DIV/0!</v>
      </c>
      <c r="W9">
        <v>1</v>
      </c>
      <c r="X9" s="5">
        <f>MédiaVGBB25[[#This Row],[REB]]/MédiaVGBB25[[#This Row],[GP]]</f>
        <v>0.5</v>
      </c>
      <c r="Y9">
        <v>0</v>
      </c>
      <c r="Z9">
        <v>1</v>
      </c>
      <c r="AA9">
        <v>0</v>
      </c>
      <c r="AB9">
        <v>0</v>
      </c>
      <c r="AC9">
        <v>1</v>
      </c>
      <c r="AD9" s="5">
        <f>MédiaVGBB25[[#This Row],[TO]]/MédiaVGBB25[[#This Row],[GP]]</f>
        <v>0.5</v>
      </c>
      <c r="AE9">
        <v>0</v>
      </c>
      <c r="AF9">
        <v>-4</v>
      </c>
      <c r="AG9" s="5">
        <f>MédiaVGBB25[[#This Row],[+ / -]]/MédiaVGBB25[[#This Row],[GP]]</f>
        <v>-2</v>
      </c>
      <c r="AH9" s="38">
        <f>(MédiaVGBB25[[#This Row],[PPG]]/2)*((MédiaVGBB25[[#This Row],[FGA]]/MédiaVGBB25[[#This Row],[GP]])+((0.44)*(MédiaVGBB25[[#This Row],[FTA]]/MédiaVGBB25[[#This Row],[GP]])))</f>
        <v>0</v>
      </c>
      <c r="AI9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0</v>
      </c>
      <c r="AJ9" s="4">
        <f>MédiaVGBB25[[#This Row],[PTS]]/(MédiaVGBB25[[#This Row],[FGA]]+MédiaVGBB25[[#This Row],[TO]]-MédiaVGBB25[[#This Row],[OR]]+(0.44*MédiaVGBB25[[#This Row],[FTA]]))</f>
        <v>0</v>
      </c>
    </row>
    <row r="10" spans="1:36" x14ac:dyDescent="0.3">
      <c r="A10" t="s">
        <v>22</v>
      </c>
      <c r="B10" t="s">
        <v>73</v>
      </c>
      <c r="C10" t="s">
        <v>42</v>
      </c>
      <c r="D10" t="s">
        <v>56</v>
      </c>
      <c r="E10">
        <v>30</v>
      </c>
      <c r="F10" s="5">
        <f>MédiaVGBB25[[#This Row],[PTS]]/MédiaVGBB25[[#This Row],[GP]]</f>
        <v>3.75</v>
      </c>
      <c r="G10" t="s">
        <v>74</v>
      </c>
      <c r="H10" t="s">
        <v>75</v>
      </c>
      <c r="I10">
        <v>13</v>
      </c>
      <c r="J10" s="1">
        <f>MédiaVGBB25[[#This Row],[FGM]]/MédiaVGBB25[[#This Row],[FGA]]</f>
        <v>0.18055555555555555</v>
      </c>
      <c r="K10" t="s">
        <v>76</v>
      </c>
      <c r="L10" t="s">
        <v>77</v>
      </c>
      <c r="M10">
        <v>10</v>
      </c>
      <c r="N10" s="1">
        <f>MédiaVGBB25[[#This Row],[2PM]]/MédiaVGBB25[[#This Row],[2PA]]</f>
        <v>0.21276595744680851</v>
      </c>
      <c r="O10" t="s">
        <v>78</v>
      </c>
      <c r="P10" t="s">
        <v>79</v>
      </c>
      <c r="Q10">
        <v>3</v>
      </c>
      <c r="R10" s="1">
        <f>MédiaVGBB25[[#This Row],[3PTM]]/MédiaVGBB25[[#This Row],[3PA]]</f>
        <v>0.12</v>
      </c>
      <c r="S10" t="s">
        <v>80</v>
      </c>
      <c r="T10" t="s">
        <v>42</v>
      </c>
      <c r="U10">
        <v>1</v>
      </c>
      <c r="V10" s="1">
        <f>MédiaVGBB25[[#This Row],[FTM]]/MédiaVGBB25[[#This Row],[FTA]]</f>
        <v>8.3333333333333329E-2</v>
      </c>
      <c r="W10">
        <v>34</v>
      </c>
      <c r="X10" s="5">
        <f>MédiaVGBB25[[#This Row],[REB]]/MédiaVGBB25[[#This Row],[GP]]</f>
        <v>4.25</v>
      </c>
      <c r="Y10">
        <v>15</v>
      </c>
      <c r="Z10">
        <v>19</v>
      </c>
      <c r="AA10">
        <v>11</v>
      </c>
      <c r="AB10">
        <v>15</v>
      </c>
      <c r="AC10">
        <v>61</v>
      </c>
      <c r="AD10" s="5">
        <f>MédiaVGBB25[[#This Row],[TO]]/MédiaVGBB25[[#This Row],[GP]]</f>
        <v>7.625</v>
      </c>
      <c r="AE10">
        <v>-53</v>
      </c>
      <c r="AF10">
        <v>-55</v>
      </c>
      <c r="AG10" s="5">
        <f>MédiaVGBB25[[#This Row],[+ / -]]/MédiaVGBB25[[#This Row],[GP]]</f>
        <v>-6.875</v>
      </c>
      <c r="AH10" s="38">
        <f>(MédiaVGBB25[[#This Row],[PPG]]/2)*((MédiaVGBB25[[#This Row],[FGA]]/MédiaVGBB25[[#This Row],[GP]])+((0.44)*(MédiaVGBB25[[#This Row],[FTA]]/MédiaVGBB25[[#This Row],[GP]])))</f>
        <v>18.112500000000001</v>
      </c>
      <c r="AI10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32.801346528228429</v>
      </c>
      <c r="AJ10" s="4">
        <f>MédiaVGBB25[[#This Row],[PTS]]/(MédiaVGBB25[[#This Row],[FGA]]+MédiaVGBB25[[#This Row],[TO]]-MédiaVGBB25[[#This Row],[OR]]+(0.44*MédiaVGBB25[[#This Row],[FTA]]))</f>
        <v>0.24334847501622323</v>
      </c>
    </row>
    <row r="11" spans="1:36" x14ac:dyDescent="0.3">
      <c r="A11" t="s">
        <v>22</v>
      </c>
      <c r="B11" t="s">
        <v>81</v>
      </c>
      <c r="C11" t="s">
        <v>82</v>
      </c>
      <c r="D11" t="s">
        <v>53</v>
      </c>
      <c r="E11">
        <v>13</v>
      </c>
      <c r="F11" s="5">
        <f>MédiaVGBB25[[#This Row],[PTS]]/MédiaVGBB25[[#This Row],[GP]]</f>
        <v>1.3</v>
      </c>
      <c r="G11" t="s">
        <v>83</v>
      </c>
      <c r="H11" t="s">
        <v>84</v>
      </c>
      <c r="I11">
        <v>4</v>
      </c>
      <c r="J11" s="1">
        <f>MédiaVGBB25[[#This Row],[FGM]]/MédiaVGBB25[[#This Row],[FGA]]</f>
        <v>0.17391304347826086</v>
      </c>
      <c r="K11" t="s">
        <v>85</v>
      </c>
      <c r="L11" t="s">
        <v>86</v>
      </c>
      <c r="M11">
        <v>3</v>
      </c>
      <c r="N11" s="1">
        <f>MédiaVGBB25[[#This Row],[2PM]]/MédiaVGBB25[[#This Row],[2PA]]</f>
        <v>0.2</v>
      </c>
      <c r="O11" t="s">
        <v>87</v>
      </c>
      <c r="P11" t="s">
        <v>56</v>
      </c>
      <c r="Q11">
        <v>1</v>
      </c>
      <c r="R11" s="1">
        <f>MédiaVGBB25[[#This Row],[3PTM]]/MédiaVGBB25[[#This Row],[3PA]]</f>
        <v>0.125</v>
      </c>
      <c r="S11" t="s">
        <v>88</v>
      </c>
      <c r="T11" t="s">
        <v>53</v>
      </c>
      <c r="U11">
        <v>4</v>
      </c>
      <c r="V11" s="1">
        <f>MédiaVGBB25[[#This Row],[FTM]]/MédiaVGBB25[[#This Row],[FTA]]</f>
        <v>0.4</v>
      </c>
      <c r="W11">
        <v>31</v>
      </c>
      <c r="X11" s="5">
        <f>MédiaVGBB25[[#This Row],[REB]]/MédiaVGBB25[[#This Row],[GP]]</f>
        <v>3.1</v>
      </c>
      <c r="Y11">
        <v>8</v>
      </c>
      <c r="Z11">
        <v>23</v>
      </c>
      <c r="AA11">
        <v>6</v>
      </c>
      <c r="AB11">
        <v>34</v>
      </c>
      <c r="AC11">
        <v>86</v>
      </c>
      <c r="AD11" s="5">
        <f>MédiaVGBB25[[#This Row],[TO]]/MédiaVGBB25[[#This Row],[GP]]</f>
        <v>8.6</v>
      </c>
      <c r="AE11">
        <v>-35</v>
      </c>
      <c r="AF11">
        <v>-46</v>
      </c>
      <c r="AG11" s="5">
        <f>MédiaVGBB25[[#This Row],[+ / -]]/MédiaVGBB25[[#This Row],[GP]]</f>
        <v>-4.5999999999999996</v>
      </c>
      <c r="AH11" s="38">
        <f>(MédiaVGBB25[[#This Row],[PPG]]/2)*((MédiaVGBB25[[#This Row],[FGA]]/MédiaVGBB25[[#This Row],[GP]])+((0.44)*(MédiaVGBB25[[#This Row],[FTA]]/MédiaVGBB25[[#This Row],[GP]])))</f>
        <v>1.7809999999999999</v>
      </c>
      <c r="AI11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17.26755218216319</v>
      </c>
      <c r="AJ11" s="4">
        <f>MédiaVGBB25[[#This Row],[PTS]]/(MédiaVGBB25[[#This Row],[FGA]]+MédiaVGBB25[[#This Row],[TO]]-MédiaVGBB25[[#This Row],[OR]]+(0.44*MédiaVGBB25[[#This Row],[FTA]]))</f>
        <v>0.12333965844402277</v>
      </c>
    </row>
    <row r="12" spans="1:36" x14ac:dyDescent="0.3">
      <c r="A12" t="s">
        <v>22</v>
      </c>
      <c r="B12" t="s">
        <v>89</v>
      </c>
      <c r="C12" t="s">
        <v>90</v>
      </c>
      <c r="D12" t="s">
        <v>27</v>
      </c>
      <c r="E12">
        <v>0</v>
      </c>
      <c r="F12" s="5">
        <f>MédiaVGBB25[[#This Row],[PTS]]/MédiaVGBB25[[#This Row],[GP]]</f>
        <v>0</v>
      </c>
      <c r="G12" t="s">
        <v>91</v>
      </c>
      <c r="H12" t="s">
        <v>43</v>
      </c>
      <c r="I12">
        <v>0</v>
      </c>
      <c r="J12" s="1">
        <f>MédiaVGBB25[[#This Row],[FGM]]/MédiaVGBB25[[#This Row],[FGA]]</f>
        <v>0</v>
      </c>
      <c r="K12" t="s">
        <v>92</v>
      </c>
      <c r="L12" t="s">
        <v>93</v>
      </c>
      <c r="M12">
        <v>0</v>
      </c>
      <c r="N12" s="1">
        <f>MédiaVGBB25[[#This Row],[2PM]]/MédiaVGBB25[[#This Row],[2PA]]</f>
        <v>0</v>
      </c>
      <c r="O12" t="s">
        <v>94</v>
      </c>
      <c r="P12" t="s">
        <v>34</v>
      </c>
      <c r="Q12">
        <v>0</v>
      </c>
      <c r="R12" s="1">
        <f>MédiaVGBB25[[#This Row],[3PTM]]/MédiaVGBB25[[#This Row],[3PA]]</f>
        <v>0</v>
      </c>
      <c r="S12" t="s">
        <v>41</v>
      </c>
      <c r="T12" t="s">
        <v>25</v>
      </c>
      <c r="U12">
        <v>0</v>
      </c>
      <c r="V12" s="1">
        <f>MédiaVGBB25[[#This Row],[FTM]]/MédiaVGBB25[[#This Row],[FTA]]</f>
        <v>0</v>
      </c>
      <c r="W12">
        <v>10</v>
      </c>
      <c r="X12" s="5">
        <f>MédiaVGBB25[[#This Row],[REB]]/MédiaVGBB25[[#This Row],[GP]]</f>
        <v>1.1111111111111112</v>
      </c>
      <c r="Y12">
        <v>7</v>
      </c>
      <c r="Z12">
        <v>3</v>
      </c>
      <c r="AA12">
        <v>2</v>
      </c>
      <c r="AB12">
        <v>9</v>
      </c>
      <c r="AC12">
        <v>20</v>
      </c>
      <c r="AD12" s="5">
        <f>MédiaVGBB25[[#This Row],[TO]]/MédiaVGBB25[[#This Row],[GP]]</f>
        <v>2.2222222222222223</v>
      </c>
      <c r="AE12">
        <v>-9</v>
      </c>
      <c r="AF12">
        <v>-47</v>
      </c>
      <c r="AG12" s="5">
        <f>MédiaVGBB25[[#This Row],[+ / -]]/MédiaVGBB25[[#This Row],[GP]]</f>
        <v>-5.2222222222222223</v>
      </c>
      <c r="AH12" s="38">
        <f>(MédiaVGBB25[[#This Row],[PPG]]/2)*((MédiaVGBB25[[#This Row],[FGA]]/MédiaVGBB25[[#This Row],[GP]])+((0.44)*(MédiaVGBB25[[#This Row],[FTA]]/MédiaVGBB25[[#This Row],[GP]])))</f>
        <v>0</v>
      </c>
      <c r="AI12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9.5785440613026811</v>
      </c>
      <c r="AJ12" s="4">
        <f>MédiaVGBB25[[#This Row],[PTS]]/(MédiaVGBB25[[#This Row],[FGA]]+MédiaVGBB25[[#This Row],[TO]]-MédiaVGBB25[[#This Row],[OR]]+(0.44*MédiaVGBB25[[#This Row],[FTA]]))</f>
        <v>0</v>
      </c>
    </row>
    <row r="13" spans="1:36" x14ac:dyDescent="0.3">
      <c r="A13" t="s">
        <v>22</v>
      </c>
      <c r="B13" t="s">
        <v>95</v>
      </c>
      <c r="C13" t="s">
        <v>96</v>
      </c>
      <c r="D13" t="s">
        <v>53</v>
      </c>
      <c r="E13">
        <v>4</v>
      </c>
      <c r="F13" s="5">
        <f>MédiaVGBB25[[#This Row],[PTS]]/MédiaVGBB25[[#This Row],[GP]]</f>
        <v>0.4</v>
      </c>
      <c r="G13" t="s">
        <v>97</v>
      </c>
      <c r="H13" t="s">
        <v>96</v>
      </c>
      <c r="I13">
        <v>2</v>
      </c>
      <c r="J13" s="1">
        <f>MédiaVGBB25[[#This Row],[FGM]]/MédiaVGBB25[[#This Row],[FGA]]</f>
        <v>0.1</v>
      </c>
      <c r="K13" t="s">
        <v>98</v>
      </c>
      <c r="L13" t="s">
        <v>99</v>
      </c>
      <c r="M13">
        <v>19</v>
      </c>
      <c r="N13" s="1">
        <f>MédiaVGBB25[[#This Row],[2PM]]/MédiaVGBB25[[#This Row],[2PA]]</f>
        <v>1</v>
      </c>
      <c r="O13" t="s">
        <v>94</v>
      </c>
      <c r="P13" t="s">
        <v>34</v>
      </c>
      <c r="Q13">
        <v>0</v>
      </c>
      <c r="R13" s="1">
        <f>MédiaVGBB25[[#This Row],[3PTM]]/MédiaVGBB25[[#This Row],[3PA]]</f>
        <v>0</v>
      </c>
      <c r="S13" t="s">
        <v>100</v>
      </c>
      <c r="T13" t="s">
        <v>29</v>
      </c>
      <c r="U13">
        <v>0</v>
      </c>
      <c r="V13" s="1">
        <f>MédiaVGBB25[[#This Row],[FTM]]/MédiaVGBB25[[#This Row],[FTA]]</f>
        <v>0</v>
      </c>
      <c r="W13">
        <v>44</v>
      </c>
      <c r="X13" s="5">
        <f>MédiaVGBB25[[#This Row],[REB]]/MédiaVGBB25[[#This Row],[GP]]</f>
        <v>4.4000000000000004</v>
      </c>
      <c r="Y13">
        <v>20</v>
      </c>
      <c r="Z13">
        <v>24</v>
      </c>
      <c r="AA13">
        <v>0</v>
      </c>
      <c r="AB13">
        <v>6</v>
      </c>
      <c r="AC13">
        <v>14</v>
      </c>
      <c r="AD13" s="5">
        <f>MédiaVGBB25[[#This Row],[TO]]/MédiaVGBB25[[#This Row],[GP]]</f>
        <v>1.4</v>
      </c>
      <c r="AE13">
        <v>6</v>
      </c>
      <c r="AF13">
        <v>-89</v>
      </c>
      <c r="AG13" s="5">
        <f>MédiaVGBB25[[#This Row],[+ / -]]/MédiaVGBB25[[#This Row],[GP]]</f>
        <v>-8.9</v>
      </c>
      <c r="AH13" s="38">
        <f>(MédiaVGBB25[[#This Row],[PPG]]/2)*((MédiaVGBB25[[#This Row],[FGA]]/MédiaVGBB25[[#This Row],[GP]])+((0.44)*(MédiaVGBB25[[#This Row],[FTA]]/MédiaVGBB25[[#This Row],[GP]])))</f>
        <v>0.43520000000000003</v>
      </c>
      <c r="AI13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25.38071065989848</v>
      </c>
      <c r="AJ13" s="4">
        <f>MédiaVGBB25[[#This Row],[PTS]]/(MédiaVGBB25[[#This Row],[FGA]]+MédiaVGBB25[[#This Row],[TO]]-MédiaVGBB25[[#This Row],[OR]]+(0.44*MédiaVGBB25[[#This Row],[FTA]]))</f>
        <v>0.25380710659898476</v>
      </c>
    </row>
    <row r="14" spans="1:36" x14ac:dyDescent="0.3">
      <c r="A14" t="s">
        <v>22</v>
      </c>
      <c r="B14" t="s">
        <v>101</v>
      </c>
      <c r="C14" t="s">
        <v>102</v>
      </c>
      <c r="D14">
        <v>10</v>
      </c>
      <c r="E14">
        <v>160</v>
      </c>
      <c r="F14" s="5">
        <f>MédiaVGBB25[[#This Row],[PTS]]/MédiaVGBB25[[#This Row],[GP]]</f>
        <v>16</v>
      </c>
      <c r="G14" t="s">
        <v>103</v>
      </c>
      <c r="H14" t="s">
        <v>104</v>
      </c>
      <c r="I14">
        <v>70</v>
      </c>
      <c r="J14" s="1">
        <f>MédiaVGBB25[[#This Row],[FGM]]/MédiaVGBB25[[#This Row],[FGA]]</f>
        <v>0.18617021276595744</v>
      </c>
      <c r="K14" t="s">
        <v>105</v>
      </c>
      <c r="L14" t="s">
        <v>106</v>
      </c>
      <c r="M14">
        <v>63</v>
      </c>
      <c r="N14" s="1">
        <f>MédiaVGBB25[[#This Row],[2PM]]/MédiaVGBB25[[#This Row],[2PA]]</f>
        <v>0.22580645161290322</v>
      </c>
      <c r="O14" t="s">
        <v>107</v>
      </c>
      <c r="P14" t="s">
        <v>108</v>
      </c>
      <c r="Q14">
        <v>7</v>
      </c>
      <c r="R14" s="1">
        <f>MédiaVGBB25[[#This Row],[3PTM]]/MédiaVGBB25[[#This Row],[3PA]]</f>
        <v>7.2164948453608241E-2</v>
      </c>
      <c r="S14" t="s">
        <v>109</v>
      </c>
      <c r="T14" t="s">
        <v>110</v>
      </c>
      <c r="U14">
        <v>13</v>
      </c>
      <c r="V14" s="1">
        <f>MédiaVGBB25[[#This Row],[FTM]]/MédiaVGBB25[[#This Row],[FTA]]</f>
        <v>0.22413793103448276</v>
      </c>
      <c r="W14">
        <v>275</v>
      </c>
      <c r="X14" s="5">
        <f>MédiaVGBB25[[#This Row],[REB]]/MédiaVGBB25[[#This Row],[GP]]</f>
        <v>27.5</v>
      </c>
      <c r="Y14">
        <v>97</v>
      </c>
      <c r="Z14">
        <v>178</v>
      </c>
      <c r="AA14">
        <v>36</v>
      </c>
      <c r="AB14">
        <v>145</v>
      </c>
      <c r="AC14">
        <v>339</v>
      </c>
      <c r="AD14" s="5">
        <f>MédiaVGBB25[[#This Row],[TO]]/MédiaVGBB25[[#This Row],[GP]]</f>
        <v>33.9</v>
      </c>
      <c r="AE14">
        <v>-118</v>
      </c>
      <c r="AF14">
        <v>-474</v>
      </c>
      <c r="AG14" s="5">
        <f>MédiaVGBB25[[#This Row],[+ / -]]/MédiaVGBB25[[#This Row],[GP]]</f>
        <v>-47.4</v>
      </c>
      <c r="AH14" s="38">
        <f>(MédiaVGBB25[[#This Row],[PPG]]/2)*((MédiaVGBB25[[#This Row],[FGA]]/MédiaVGBB25[[#This Row],[GP]])+((0.44)*(MédiaVGBB25[[#This Row],[FTA]]/MédiaVGBB25[[#This Row],[GP]])))</f>
        <v>321.21600000000001</v>
      </c>
      <c r="AI14" s="4">
        <f>((MédiaVGBB25[[#This Row],[FGM]]/MédiaVGBB25[[#This Row],[GP]])*(2+((0.5)*(MédiaVGBB25[[#This Row],[3PTM]]/MédiaVGBB25[[#This Row],[GP]])))+(MédiaVGBB25[[#This Row],[FTM]]/MédiaVGBB25[[#This Row],[GP]])+(MédiaVGBB25[[#This Row],[AST]]/MédiaVGBB25[[#This Row],[GP]]))/((MédiaVGBB25[[#This Row],[FGA]]/MédiaVGBB25[[#This Row],[GP]])+(MédiaVGBB25[[#This Row],[TO]]/MédiaVGBB25[[#This Row],[GP]])-(MédiaVGBB25[[#This Row],[OR]]/MédiaVGBB25[[#This Row],[GP]])+((0.44*(MédiaVGBB25[[#This Row],[FTA]]/MédiaVGBB25[[#This Row],[GP]]))))*100</f>
        <v>33.176902038786672</v>
      </c>
      <c r="AJ14" s="4">
        <f>MédiaVGBB25[[#This Row],[PTS]]/(MédiaVGBB25[[#This Row],[FGA]]+MédiaVGBB25[[#This Row],[TO]]-MédiaVGBB25[[#This Row],[OR]]+(0.44*MédiaVGBB25[[#This Row],[FTA]]))</f>
        <v>0.2486325211337643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D8D3-D8AF-4DA8-A2F0-FA0C31E464B2}">
  <dimension ref="A1:I19"/>
  <sheetViews>
    <sheetView tabSelected="1" workbookViewId="0">
      <selection activeCell="N23" sqref="N23"/>
    </sheetView>
  </sheetViews>
  <sheetFormatPr defaultRowHeight="14.4" x14ac:dyDescent="0.3"/>
  <cols>
    <col min="1" max="1" width="16.77734375" bestFit="1" customWidth="1"/>
    <col min="2" max="2" width="13.6640625" bestFit="1" customWidth="1"/>
    <col min="3" max="3" width="4.33203125" bestFit="1" customWidth="1"/>
    <col min="4" max="4" width="7.5546875" bestFit="1" customWidth="1"/>
    <col min="5" max="5" width="10.109375" bestFit="1" customWidth="1"/>
    <col min="6" max="6" width="11.21875" bestFit="1" customWidth="1"/>
    <col min="7" max="7" width="8.109375" bestFit="1" customWidth="1"/>
    <col min="8" max="9" width="16" bestFit="1" customWidth="1"/>
    <col min="10" max="10" width="21.6640625" bestFit="1" customWidth="1"/>
  </cols>
  <sheetData>
    <row r="1" spans="1:9" x14ac:dyDescent="0.3">
      <c r="A1" s="6" t="s">
        <v>3</v>
      </c>
      <c r="B1" t="s">
        <v>131</v>
      </c>
    </row>
    <row r="3" spans="1:9" x14ac:dyDescent="0.3">
      <c r="A3" s="6" t="s">
        <v>129</v>
      </c>
      <c r="B3" t="s">
        <v>161</v>
      </c>
      <c r="C3" t="s">
        <v>171</v>
      </c>
      <c r="D3" t="s">
        <v>172</v>
      </c>
      <c r="E3" t="s">
        <v>173</v>
      </c>
      <c r="F3" t="s">
        <v>174</v>
      </c>
      <c r="G3" t="s">
        <v>164</v>
      </c>
      <c r="H3" t="s">
        <v>158</v>
      </c>
    </row>
    <row r="4" spans="1:9" x14ac:dyDescent="0.3">
      <c r="A4" s="7" t="s">
        <v>47</v>
      </c>
      <c r="B4" s="5">
        <v>5.5555555555555554</v>
      </c>
      <c r="C4">
        <v>19</v>
      </c>
      <c r="D4" s="4">
        <v>0.18181818181818182</v>
      </c>
      <c r="E4" s="4">
        <v>28.962962962962965</v>
      </c>
      <c r="F4" s="4">
        <v>44.829647340107584</v>
      </c>
      <c r="G4" s="5">
        <v>-6.666666666666667</v>
      </c>
      <c r="H4" s="5">
        <v>5.1111111111111107</v>
      </c>
    </row>
    <row r="5" spans="1:9" x14ac:dyDescent="0.3">
      <c r="A5" s="7" t="s">
        <v>55</v>
      </c>
      <c r="B5" s="5">
        <v>5.8888888888888893</v>
      </c>
      <c r="C5">
        <v>12</v>
      </c>
      <c r="D5" s="4">
        <v>0.10344827586206896</v>
      </c>
      <c r="E5" s="4">
        <v>36.223209876543208</v>
      </c>
      <c r="F5" s="4">
        <v>40.894220283533258</v>
      </c>
      <c r="G5" s="5">
        <v>-10.222222222222221</v>
      </c>
      <c r="H5" s="5">
        <v>9.2222222222222214</v>
      </c>
    </row>
    <row r="6" spans="1:9" x14ac:dyDescent="0.3">
      <c r="A6" s="7" t="s">
        <v>73</v>
      </c>
      <c r="B6" s="5">
        <v>3.75</v>
      </c>
      <c r="C6">
        <v>-53</v>
      </c>
      <c r="D6" s="4">
        <v>0.18032786885245902</v>
      </c>
      <c r="E6" s="4">
        <v>18.112500000000001</v>
      </c>
      <c r="F6" s="4">
        <v>32.801346528228429</v>
      </c>
      <c r="G6" s="5">
        <v>-6.875</v>
      </c>
      <c r="H6" s="5">
        <v>4.25</v>
      </c>
    </row>
    <row r="12" spans="1:9" x14ac:dyDescent="0.3">
      <c r="A12" s="7" t="s">
        <v>1</v>
      </c>
      <c r="B12" t="s">
        <v>145</v>
      </c>
      <c r="D12" s="11"/>
      <c r="E12" s="11"/>
      <c r="F12" s="11"/>
      <c r="G12" s="11"/>
      <c r="H12" s="11"/>
      <c r="I12" s="12"/>
    </row>
    <row r="13" spans="1:9" x14ac:dyDescent="0.3">
      <c r="A13" s="7" t="s">
        <v>47</v>
      </c>
      <c r="B13">
        <f>2+1+4+2+1+2+1</f>
        <v>13</v>
      </c>
      <c r="D13" s="8" t="s">
        <v>1</v>
      </c>
      <c r="E13" s="8" t="s">
        <v>2</v>
      </c>
      <c r="F13" s="8" t="s">
        <v>4</v>
      </c>
      <c r="G13" s="8" t="s">
        <v>14</v>
      </c>
      <c r="H13" s="8" t="s">
        <v>18</v>
      </c>
      <c r="I13" s="8" t="s">
        <v>144</v>
      </c>
    </row>
    <row r="14" spans="1:9" x14ac:dyDescent="0.3">
      <c r="A14" s="7" t="s">
        <v>55</v>
      </c>
      <c r="B14">
        <f>1+2+7+1+3+1+2</f>
        <v>17</v>
      </c>
      <c r="D14" s="15" t="s">
        <v>47</v>
      </c>
      <c r="E14" s="15" t="s">
        <v>43</v>
      </c>
      <c r="F14" s="15">
        <v>50</v>
      </c>
      <c r="G14" s="15">
        <v>46</v>
      </c>
      <c r="H14" s="15">
        <v>44</v>
      </c>
      <c r="I14" s="17">
        <v>0.44829647340107581</v>
      </c>
    </row>
    <row r="15" spans="1:9" x14ac:dyDescent="0.3">
      <c r="A15" s="7" t="s">
        <v>73</v>
      </c>
      <c r="B15">
        <f>3+7+5+4+1+3+3</f>
        <v>26</v>
      </c>
    </row>
    <row r="16" spans="1:9" x14ac:dyDescent="0.3">
      <c r="A16" s="7" t="s">
        <v>81</v>
      </c>
      <c r="B16">
        <f>4+6+2+5+5+4+5</f>
        <v>31</v>
      </c>
    </row>
    <row r="17" spans="1:2" x14ac:dyDescent="0.3">
      <c r="A17" s="7" t="s">
        <v>95</v>
      </c>
      <c r="B17">
        <f>4+5+6+3+6+3+5</f>
        <v>32</v>
      </c>
    </row>
    <row r="18" spans="1:2" x14ac:dyDescent="0.3">
      <c r="A18" s="7" t="s">
        <v>89</v>
      </c>
      <c r="B18">
        <f>6+6+4+6+3+5+6</f>
        <v>36</v>
      </c>
    </row>
    <row r="19" spans="1:2" x14ac:dyDescent="0.3">
      <c r="A19" s="7" t="s">
        <v>37</v>
      </c>
      <c r="B19">
        <f>7+7+7+7+1+4+7</f>
        <v>40</v>
      </c>
    </row>
  </sheetData>
  <pageMargins left="0.511811024" right="0.511811024" top="0.78740157499999996" bottom="0.78740157499999996" header="0.31496062000000002" footer="0.31496062000000002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8B58-EC4B-4FCE-AAD9-8FF61E262862}">
  <dimension ref="A1:I8"/>
  <sheetViews>
    <sheetView workbookViewId="0">
      <selection activeCell="G10" sqref="G10"/>
    </sheetView>
  </sheetViews>
  <sheetFormatPr defaultRowHeight="14.4" x14ac:dyDescent="0.3"/>
  <cols>
    <col min="9" max="9" width="15.109375" customWidth="1"/>
  </cols>
  <sheetData>
    <row r="1" spans="1:9" x14ac:dyDescent="0.3">
      <c r="A1" s="8" t="s">
        <v>1</v>
      </c>
      <c r="B1" s="8" t="s">
        <v>2</v>
      </c>
      <c r="C1" s="8" t="s">
        <v>3</v>
      </c>
      <c r="D1" s="8" t="s">
        <v>5</v>
      </c>
      <c r="E1" s="8" t="s">
        <v>133</v>
      </c>
      <c r="F1" s="8" t="s">
        <v>132</v>
      </c>
      <c r="G1" s="8" t="s">
        <v>134</v>
      </c>
      <c r="H1" s="9" t="s">
        <v>159</v>
      </c>
      <c r="I1" s="9" t="s">
        <v>135</v>
      </c>
    </row>
    <row r="2" spans="1:9" x14ac:dyDescent="0.3">
      <c r="A2" s="3" t="s">
        <v>37</v>
      </c>
      <c r="B2" s="3" t="s">
        <v>29</v>
      </c>
      <c r="C2" s="3" t="s">
        <v>27</v>
      </c>
      <c r="D2" s="4">
        <f>'Média VGBB25'!F3-Jogo_2[[#This Row],[PTS]]</f>
        <v>0</v>
      </c>
      <c r="E2" s="4">
        <f>('Média VGBB25'!W3/'Média VGBB25'!D3)-Jogo_2[[#This Row],[REB]]</f>
        <v>1.3333333333333333</v>
      </c>
      <c r="F2" s="4">
        <f>'Média VGBB25'!AA3/'Média VGBB25'!AC3</f>
        <v>9.0909090909090912E-2</v>
      </c>
      <c r="G2" s="4">
        <f>(-5/9)-0</f>
        <v>-0.55555555555555558</v>
      </c>
      <c r="H2" s="4">
        <f>('Média VGBB25'!AF3/C2)-Jogo_2[[#This Row],[+ / -]]</f>
        <v>-0.33333333333333348</v>
      </c>
      <c r="I2" s="4">
        <f>SUM(MIP_Dados[[#This Row],[PPG]:[ΔPlus/Minus]])</f>
        <v>0.53535353535353503</v>
      </c>
    </row>
    <row r="3" spans="1:9" x14ac:dyDescent="0.3">
      <c r="A3" s="3" t="s">
        <v>47</v>
      </c>
      <c r="B3" s="3" t="s">
        <v>43</v>
      </c>
      <c r="C3" s="3" t="s">
        <v>27</v>
      </c>
      <c r="D3" s="4">
        <f>'Média VGBB25'!F5-'Jogo 1'!D4</f>
        <v>-2.4444444444444446</v>
      </c>
      <c r="E3" s="4">
        <f>('Média VGBB25'!W5/'Média VGBB25'!D5)-'Jogo 1'!Q4</f>
        <v>0.11111111111111072</v>
      </c>
      <c r="F3" s="4">
        <f>'Média VGBB25'!AA5/'Média VGBB25'!AC5</f>
        <v>0.18181818181818182</v>
      </c>
      <c r="G3" s="4">
        <f>('Média VGBB25'!AE5/C3)-'Jogo 1'!W4</f>
        <v>1.1111111111111112</v>
      </c>
      <c r="H3" s="4">
        <f>('Média VGBB25'!AF5/C3)-'Jogo 1'!X4</f>
        <v>2.333333333333333</v>
      </c>
      <c r="I3" s="4">
        <f>SUM(MIP_Dados[[#This Row],[PPG]:[ΔPlus/Minus]])</f>
        <v>1.2929292929292919</v>
      </c>
    </row>
    <row r="4" spans="1:9" x14ac:dyDescent="0.3">
      <c r="A4" s="2" t="s">
        <v>55</v>
      </c>
      <c r="B4" s="2" t="s">
        <v>56</v>
      </c>
      <c r="C4" s="2" t="s">
        <v>27</v>
      </c>
      <c r="D4" s="4">
        <f>'Média VGBB25'!F6-'Jogo 1'!D5</f>
        <v>3.8888888888888893</v>
      </c>
      <c r="E4" s="4">
        <f>('Média VGBB25'!W6/'Média VGBB25'!D6)-'Jogo 1'!Q5</f>
        <v>0.22222222222222143</v>
      </c>
      <c r="F4" s="4">
        <f>'Média VGBB25'!AA6/'Média VGBB25'!AC6</f>
        <v>0.10344827586206896</v>
      </c>
      <c r="G4" s="4">
        <f>('Média VGBB25'!AE6/C4)-'Jogo 1'!W5</f>
        <v>2.333333333333333</v>
      </c>
      <c r="H4" s="4">
        <f>('Média VGBB25'!AF6/C4)-'Jogo 1'!X5</f>
        <v>5.7777777777777786</v>
      </c>
      <c r="I4" s="4">
        <f>SUM(MIP_Dados[[#This Row],[PPG]:[ΔPlus/Minus]])</f>
        <v>12.325670498084293</v>
      </c>
    </row>
    <row r="5" spans="1:9" x14ac:dyDescent="0.3">
      <c r="A5" s="2" t="s">
        <v>73</v>
      </c>
      <c r="B5" s="2" t="s">
        <v>42</v>
      </c>
      <c r="C5" s="2" t="s">
        <v>56</v>
      </c>
      <c r="D5" s="4">
        <f>'Média VGBB25'!F10-'Jogo 1'!D7</f>
        <v>0.75</v>
      </c>
      <c r="E5" s="4">
        <f>('Média VGBB25'!W10/'Média VGBB25'!D10)-'Jogo 1'!Q7</f>
        <v>0.25</v>
      </c>
      <c r="F5" s="4">
        <f>'Média VGBB25'!AA10/'Média VGBB25'!AC10</f>
        <v>0.18032786885245902</v>
      </c>
      <c r="G5" s="4">
        <f>('Média VGBB25'!AE10/C5)-'Jogo 1'!W7</f>
        <v>5.375</v>
      </c>
      <c r="H5" s="4">
        <f>('Média VGBB25'!AF10/C5)-'Jogo 1'!X7</f>
        <v>7.125</v>
      </c>
      <c r="I5" s="4">
        <f>SUM(MIP_Dados[[#This Row],[PPG]:[ΔPlus/Minus]])</f>
        <v>13.680327868852459</v>
      </c>
    </row>
    <row r="6" spans="1:9" x14ac:dyDescent="0.3">
      <c r="A6" s="3" t="s">
        <v>81</v>
      </c>
      <c r="B6" s="3" t="s">
        <v>82</v>
      </c>
      <c r="C6" s="3" t="s">
        <v>53</v>
      </c>
      <c r="D6" s="4">
        <f>'Média VGBB25'!F11-'Jogo 1'!D8</f>
        <v>1.3</v>
      </c>
      <c r="E6" s="4">
        <f>('Média VGBB25'!W11/'Média VGBB25'!D11)-'Jogo 1'!Q8</f>
        <v>3.1</v>
      </c>
      <c r="F6" s="4">
        <f>'Média VGBB25'!AA11/'Média VGBB25'!AC11</f>
        <v>6.9767441860465115E-2</v>
      </c>
      <c r="G6" s="4">
        <f>('Média VGBB25'!AE11/C6)-'Jogo 1'!W8</f>
        <v>7.5</v>
      </c>
      <c r="H6" s="4">
        <f>('Média VGBB25'!AF11/C6)-'Jogo 1'!X8</f>
        <v>2.4000000000000004</v>
      </c>
      <c r="I6" s="4">
        <f>SUM(MIP_Dados[[#This Row],[PPG]:[ΔPlus/Minus]])</f>
        <v>14.369767441860466</v>
      </c>
    </row>
    <row r="7" spans="1:9" x14ac:dyDescent="0.3">
      <c r="A7" s="2" t="s">
        <v>89</v>
      </c>
      <c r="B7" s="2" t="s">
        <v>90</v>
      </c>
      <c r="C7" s="2" t="s">
        <v>27</v>
      </c>
      <c r="D7" s="4">
        <f>'Média VGBB25'!F12-'Jogo 1'!D9</f>
        <v>0</v>
      </c>
      <c r="E7" s="4">
        <f>('Média VGBB25'!W12/'Média VGBB25'!D12)-'Jogo 1'!Q9</f>
        <v>0.11111111111111116</v>
      </c>
      <c r="F7" s="4">
        <f>'Média VGBB25'!AA12/'Média VGBB25'!AC12</f>
        <v>0.1</v>
      </c>
      <c r="G7" s="4">
        <f>('Média VGBB25'!AE12/C7)-'Jogo 1'!W9</f>
        <v>0</v>
      </c>
      <c r="H7" s="4">
        <f>('Média VGBB25'!AF12/C7)-'Jogo 1'!X9</f>
        <v>3.7777777777777777</v>
      </c>
      <c r="I7" s="4">
        <f>SUM(MIP_Dados[[#This Row],[PPG]:[ΔPlus/Minus]])</f>
        <v>3.9888888888888889</v>
      </c>
    </row>
    <row r="8" spans="1:9" x14ac:dyDescent="0.3">
      <c r="A8" s="3" t="s">
        <v>95</v>
      </c>
      <c r="B8" s="3" t="s">
        <v>96</v>
      </c>
      <c r="C8" s="3" t="s">
        <v>53</v>
      </c>
      <c r="D8" s="4">
        <f>'Média VGBB25'!F13-'Jogo 1'!D10</f>
        <v>0.4</v>
      </c>
      <c r="E8" s="4">
        <f>('Média VGBB25'!W13/'Média VGBB25'!D13)-'Jogo 1'!Q10</f>
        <v>-2.5999999999999996</v>
      </c>
      <c r="F8" s="4">
        <f>'Média VGBB25'!AA13/'Média VGBB25'!AC13</f>
        <v>0</v>
      </c>
      <c r="G8" s="4">
        <f>('Média VGBB25'!AE13/C8)-'Jogo 1'!W10</f>
        <v>0.6</v>
      </c>
      <c r="H8" s="4">
        <f>('Média VGBB25'!AF13/C8)-'Jogo 1'!X10</f>
        <v>9.9999999999999645E-2</v>
      </c>
      <c r="I8" s="4">
        <f>SUM(MIP_Dados[[#This Row],[PPG]:[ΔPlus/Minus]])</f>
        <v>-1.5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D31-8836-4F69-87BF-A0AEC02A64A3}">
  <dimension ref="A3:H25"/>
  <sheetViews>
    <sheetView topLeftCell="B1" workbookViewId="0">
      <selection activeCell="S18" sqref="S18"/>
    </sheetView>
  </sheetViews>
  <sheetFormatPr defaultRowHeight="14.4" x14ac:dyDescent="0.3"/>
  <cols>
    <col min="1" max="1" width="7.88671875" bestFit="1" customWidth="1"/>
    <col min="2" max="2" width="13.33203125" bestFit="1" customWidth="1"/>
    <col min="3" max="3" width="12.88671875" bestFit="1" customWidth="1"/>
    <col min="4" max="4" width="14.6640625" bestFit="1" customWidth="1"/>
    <col min="5" max="6" width="12.6640625" bestFit="1" customWidth="1"/>
    <col min="7" max="7" width="21" bestFit="1" customWidth="1"/>
  </cols>
  <sheetData>
    <row r="3" spans="1:8" x14ac:dyDescent="0.3">
      <c r="B3" t="s">
        <v>136</v>
      </c>
      <c r="C3" t="s">
        <v>137</v>
      </c>
      <c r="D3" t="s">
        <v>139</v>
      </c>
      <c r="E3" t="s">
        <v>140</v>
      </c>
      <c r="F3" t="s">
        <v>141</v>
      </c>
      <c r="G3" t="s">
        <v>138</v>
      </c>
    </row>
    <row r="4" spans="1:8" x14ac:dyDescent="0.3">
      <c r="A4" s="7" t="s">
        <v>81</v>
      </c>
      <c r="B4" s="4">
        <v>1.3</v>
      </c>
      <c r="C4" s="4">
        <v>3.1</v>
      </c>
      <c r="D4" s="4">
        <v>6.9767441860465115E-2</v>
      </c>
      <c r="E4" s="4">
        <v>7.5</v>
      </c>
      <c r="F4" s="4">
        <v>2.4000000000000004</v>
      </c>
      <c r="G4" s="4">
        <v>14.369767441860466</v>
      </c>
    </row>
    <row r="5" spans="1:8" x14ac:dyDescent="0.3">
      <c r="A5" s="7" t="s">
        <v>73</v>
      </c>
      <c r="B5" s="4">
        <v>0.75</v>
      </c>
      <c r="C5" s="4">
        <v>0.25</v>
      </c>
      <c r="D5" s="4">
        <v>0.18032786885245902</v>
      </c>
      <c r="E5" s="4">
        <v>5.375</v>
      </c>
      <c r="F5" s="4">
        <v>7.125</v>
      </c>
      <c r="G5" s="4">
        <v>13.680327868852459</v>
      </c>
    </row>
    <row r="6" spans="1:8" x14ac:dyDescent="0.3">
      <c r="A6" s="7" t="s">
        <v>55</v>
      </c>
      <c r="B6" s="4">
        <v>3.8888888888888893</v>
      </c>
      <c r="C6" s="4">
        <v>0.22222222222222143</v>
      </c>
      <c r="D6" s="4">
        <v>0.10344827586206896</v>
      </c>
      <c r="E6" s="4">
        <v>2.333333333333333</v>
      </c>
      <c r="F6" s="4">
        <v>5.7777777777777786</v>
      </c>
      <c r="G6" s="4">
        <v>12.325670498084293</v>
      </c>
    </row>
    <row r="7" spans="1:8" x14ac:dyDescent="0.3">
      <c r="A7" s="7" t="s">
        <v>89</v>
      </c>
      <c r="B7" s="4">
        <v>0</v>
      </c>
      <c r="C7" s="4">
        <v>0.11111111111111116</v>
      </c>
      <c r="D7" s="4">
        <v>0.1</v>
      </c>
      <c r="E7" s="4">
        <v>0</v>
      </c>
      <c r="F7" s="4">
        <v>3.7777777777777777</v>
      </c>
      <c r="G7" s="4">
        <v>3.9888888888888889</v>
      </c>
    </row>
    <row r="8" spans="1:8" x14ac:dyDescent="0.3">
      <c r="A8" s="7" t="s">
        <v>47</v>
      </c>
      <c r="B8" s="4">
        <v>-2.4444444444444446</v>
      </c>
      <c r="C8" s="4">
        <v>0.11111111111111072</v>
      </c>
      <c r="D8" s="4">
        <v>0.18181818181818182</v>
      </c>
      <c r="E8" s="4">
        <v>1.1111111111111112</v>
      </c>
      <c r="F8" s="4">
        <v>2.333333333333333</v>
      </c>
      <c r="G8" s="4">
        <v>1.2929292929292919</v>
      </c>
    </row>
    <row r="9" spans="1:8" x14ac:dyDescent="0.3">
      <c r="A9" s="7" t="s">
        <v>37</v>
      </c>
      <c r="B9" s="4">
        <v>0</v>
      </c>
      <c r="C9" s="4">
        <v>1.3333333333333333</v>
      </c>
      <c r="D9" s="4">
        <v>9.0909090909090912E-2</v>
      </c>
      <c r="E9" s="4">
        <v>-0.55555555555555558</v>
      </c>
      <c r="F9" s="4">
        <v>-0.33333333333333348</v>
      </c>
      <c r="G9" s="4">
        <v>0.53535353535353503</v>
      </c>
    </row>
    <row r="10" spans="1:8" x14ac:dyDescent="0.3">
      <c r="A10" s="7" t="s">
        <v>95</v>
      </c>
      <c r="B10" s="4">
        <v>0.4</v>
      </c>
      <c r="C10" s="4">
        <v>-2.5999999999999996</v>
      </c>
      <c r="D10" s="4">
        <v>0</v>
      </c>
      <c r="E10" s="4">
        <v>0.6</v>
      </c>
      <c r="F10" s="4">
        <v>9.9999999999999645E-2</v>
      </c>
      <c r="G10" s="4">
        <v>-1.5</v>
      </c>
    </row>
    <row r="13" spans="1:8" x14ac:dyDescent="0.3">
      <c r="A13" s="10" t="s">
        <v>129</v>
      </c>
      <c r="B13" s="10" t="s">
        <v>136</v>
      </c>
      <c r="C13" s="10" t="s">
        <v>137</v>
      </c>
      <c r="D13" s="10" t="s">
        <v>139</v>
      </c>
      <c r="E13" s="10" t="s">
        <v>140</v>
      </c>
      <c r="F13" s="10" t="s">
        <v>141</v>
      </c>
      <c r="G13" s="10" t="s">
        <v>138</v>
      </c>
    </row>
    <row r="14" spans="1:8" x14ac:dyDescent="0.3">
      <c r="A14" s="13" t="s">
        <v>81</v>
      </c>
      <c r="B14" s="14">
        <v>1.3</v>
      </c>
      <c r="C14" s="14">
        <v>3.1</v>
      </c>
      <c r="D14" s="14">
        <v>6.9767441860465115E-2</v>
      </c>
      <c r="E14" s="14">
        <v>7.5</v>
      </c>
      <c r="F14" s="14">
        <v>2.4000000000000004</v>
      </c>
      <c r="G14" s="14">
        <v>14.369767441860466</v>
      </c>
      <c r="H14" s="10"/>
    </row>
    <row r="15" spans="1:8" x14ac:dyDescent="0.3">
      <c r="B15" s="13"/>
      <c r="C15" s="14"/>
      <c r="D15" s="14"/>
      <c r="E15" s="14"/>
      <c r="F15" s="14"/>
      <c r="G15" s="14"/>
      <c r="H15" s="14"/>
    </row>
    <row r="17" spans="1:8" x14ac:dyDescent="0.3">
      <c r="A17" s="10" t="s">
        <v>129</v>
      </c>
      <c r="B17" s="10" t="s">
        <v>136</v>
      </c>
      <c r="C17" s="10" t="s">
        <v>137</v>
      </c>
      <c r="D17" s="10" t="s">
        <v>139</v>
      </c>
      <c r="E17" s="10" t="s">
        <v>140</v>
      </c>
      <c r="F17" s="10" t="s">
        <v>141</v>
      </c>
      <c r="G17" s="10" t="s">
        <v>138</v>
      </c>
      <c r="H17" s="10"/>
    </row>
    <row r="18" spans="1:8" x14ac:dyDescent="0.3">
      <c r="A18" s="7" t="s">
        <v>73</v>
      </c>
      <c r="B18" s="4">
        <v>0.75</v>
      </c>
      <c r="C18" s="4">
        <v>0.25</v>
      </c>
      <c r="D18" s="4">
        <v>0.18032786885245902</v>
      </c>
      <c r="E18" s="4">
        <v>5.375</v>
      </c>
      <c r="F18" s="4">
        <v>7.125</v>
      </c>
      <c r="G18" s="4">
        <v>13.680327868852459</v>
      </c>
      <c r="H18" s="14"/>
    </row>
    <row r="20" spans="1:8" x14ac:dyDescent="0.3">
      <c r="A20" s="10" t="s">
        <v>129</v>
      </c>
      <c r="B20" s="10" t="s">
        <v>136</v>
      </c>
      <c r="C20" s="10" t="s">
        <v>137</v>
      </c>
      <c r="D20" s="10" t="s">
        <v>139</v>
      </c>
      <c r="E20" s="10" t="s">
        <v>140</v>
      </c>
      <c r="F20" s="10" t="s">
        <v>141</v>
      </c>
      <c r="G20" s="10" t="s">
        <v>138</v>
      </c>
      <c r="H20" s="10"/>
    </row>
    <row r="21" spans="1:8" x14ac:dyDescent="0.3">
      <c r="A21" s="13" t="s">
        <v>55</v>
      </c>
      <c r="B21" s="14">
        <v>3.8888888888888893</v>
      </c>
      <c r="C21" s="14">
        <v>0.22222222222222143</v>
      </c>
      <c r="D21" s="14">
        <v>0.10344827586206896</v>
      </c>
      <c r="E21" s="14">
        <v>2.333333333333333</v>
      </c>
      <c r="F21" s="14">
        <v>5.7777777777777786</v>
      </c>
      <c r="G21" s="14">
        <v>12.325670498084293</v>
      </c>
      <c r="H21" s="14"/>
    </row>
    <row r="24" spans="1:8" x14ac:dyDescent="0.3">
      <c r="A24" s="8" t="s">
        <v>1</v>
      </c>
      <c r="B24" s="8" t="s">
        <v>2</v>
      </c>
      <c r="C24" s="8" t="s">
        <v>4</v>
      </c>
      <c r="D24" s="8" t="s">
        <v>14</v>
      </c>
      <c r="E24" s="8" t="s">
        <v>17</v>
      </c>
      <c r="F24" s="8" t="s">
        <v>18</v>
      </c>
    </row>
    <row r="25" spans="1:8" x14ac:dyDescent="0.3">
      <c r="A25" s="15" t="s">
        <v>81</v>
      </c>
      <c r="B25" s="15" t="s">
        <v>82</v>
      </c>
      <c r="C25" s="15">
        <v>13</v>
      </c>
      <c r="D25" s="15">
        <v>31</v>
      </c>
      <c r="E25" s="15">
        <v>6</v>
      </c>
      <c r="F25" s="15">
        <v>34</v>
      </c>
    </row>
  </sheetData>
  <pageMargins left="0.511811024" right="0.511811024" top="0.78740157499999996" bottom="0.78740157499999996" header="0.31496062000000002" footer="0.31496062000000002"/>
  <drawing r:id="rId2"/>
  <tableParts count="4"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4465382-CBDA-4B1F-857A-5FA761571BB0}">
  <ds:schemaRefs/>
</ds:datastoreItem>
</file>

<file path=customXml/itemProps2.xml><?xml version="1.0" encoding="utf-8"?>
<ds:datastoreItem xmlns:ds="http://schemas.openxmlformats.org/officeDocument/2006/customXml" ds:itemID="{CC1E192E-9145-4329-BC8F-FEB7C1F3E6FB}">
  <ds:schemaRefs/>
</ds:datastoreItem>
</file>

<file path=customXml/itemProps3.xml><?xml version="1.0" encoding="utf-8"?>
<ds:datastoreItem xmlns:ds="http://schemas.openxmlformats.org/officeDocument/2006/customXml" ds:itemID="{BDFE71A6-B7CD-42F4-A247-71A35A55101A}">
  <ds:schemaRefs/>
</ds:datastoreItem>
</file>

<file path=customXml/itemProps4.xml><?xml version="1.0" encoding="utf-8"?>
<ds:datastoreItem xmlns:ds="http://schemas.openxmlformats.org/officeDocument/2006/customXml" ds:itemID="{29603BBD-548C-4CA0-91D5-E93DD5C3FFB0}">
  <ds:schemaRefs/>
</ds:datastoreItem>
</file>

<file path=customXml/itemProps5.xml><?xml version="1.0" encoding="utf-8"?>
<ds:datastoreItem xmlns:ds="http://schemas.openxmlformats.org/officeDocument/2006/customXml" ds:itemID="{DE98FDA3-AFF6-43C8-A0C8-E80CA22065E0}">
  <ds:schemaRefs/>
</ds:datastoreItem>
</file>

<file path=customXml/itemProps6.xml><?xml version="1.0" encoding="utf-8"?>
<ds:datastoreItem xmlns:ds="http://schemas.openxmlformats.org/officeDocument/2006/customXml" ds:itemID="{C7386CCD-7A8C-4E2D-99FC-563E14B9B337}">
  <ds:schemaRefs/>
</ds:datastoreItem>
</file>

<file path=customXml/itemProps7.xml><?xml version="1.0" encoding="utf-8"?>
<ds:datastoreItem xmlns:ds="http://schemas.openxmlformats.org/officeDocument/2006/customXml" ds:itemID="{0A456520-BC11-4285-961C-903F36E2C081}">
  <ds:schemaRefs/>
</ds:datastoreItem>
</file>

<file path=customXml/itemProps8.xml><?xml version="1.0" encoding="utf-8"?>
<ds:datastoreItem xmlns:ds="http://schemas.openxmlformats.org/officeDocument/2006/customXml" ds:itemID="{47A85331-3C2A-4E24-8887-FD23A2C3FDED}">
  <ds:schemaRefs/>
</ds:datastoreItem>
</file>

<file path=customXml/itemProps9.xml><?xml version="1.0" encoding="utf-8"?>
<ds:datastoreItem xmlns:ds="http://schemas.openxmlformats.org/officeDocument/2006/customXml" ds:itemID="{F94553D7-236B-4624-A91D-345558B17858}">
  <ds:schemaRefs/>
</ds:datastoreItem>
</file>

<file path=customXml/itemProps10.xml><?xml version="1.0" encoding="utf-8"?>
<ds:datastoreItem xmlns:ds="http://schemas.openxmlformats.org/officeDocument/2006/customXml" ds:itemID="{0240B09E-6831-44F0-9D13-2120D07B56C4}">
  <ds:schemaRefs/>
</ds:datastoreItem>
</file>

<file path=customXml/itemProps11.xml><?xml version="1.0" encoding="utf-8"?>
<ds:datastoreItem xmlns:ds="http://schemas.openxmlformats.org/officeDocument/2006/customXml" ds:itemID="{E0367A7B-41AC-44DA-A859-53A0E6901133}">
  <ds:schemaRefs/>
</ds:datastoreItem>
</file>

<file path=customXml/itemProps12.xml><?xml version="1.0" encoding="utf-8"?>
<ds:datastoreItem xmlns:ds="http://schemas.openxmlformats.org/officeDocument/2006/customXml" ds:itemID="{39AE7AAB-ADFB-4ADC-B35E-32A14E8643A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A008299-9B43-4405-AAB5-997C27A5F500}">
  <ds:schemaRefs/>
</ds:datastoreItem>
</file>

<file path=customXml/itemProps14.xml><?xml version="1.0" encoding="utf-8"?>
<ds:datastoreItem xmlns:ds="http://schemas.openxmlformats.org/officeDocument/2006/customXml" ds:itemID="{F608BDC5-7913-4273-A479-A7E714D71FE5}">
  <ds:schemaRefs/>
</ds:datastoreItem>
</file>

<file path=customXml/itemProps15.xml><?xml version="1.0" encoding="utf-8"?>
<ds:datastoreItem xmlns:ds="http://schemas.openxmlformats.org/officeDocument/2006/customXml" ds:itemID="{1C2CDDFF-E903-4132-8E15-822E5674EBA3}">
  <ds:schemaRefs/>
</ds:datastoreItem>
</file>

<file path=customXml/itemProps16.xml><?xml version="1.0" encoding="utf-8"?>
<ds:datastoreItem xmlns:ds="http://schemas.openxmlformats.org/officeDocument/2006/customXml" ds:itemID="{0787FC35-7E36-4F48-BCA5-D3D80B22BDE4}">
  <ds:schemaRefs/>
</ds:datastoreItem>
</file>

<file path=customXml/itemProps17.xml><?xml version="1.0" encoding="utf-8"?>
<ds:datastoreItem xmlns:ds="http://schemas.openxmlformats.org/officeDocument/2006/customXml" ds:itemID="{06885306-BFC5-4FEA-BFE8-02AC743662EA}">
  <ds:schemaRefs/>
</ds:datastoreItem>
</file>

<file path=customXml/itemProps18.xml><?xml version="1.0" encoding="utf-8"?>
<ds:datastoreItem xmlns:ds="http://schemas.openxmlformats.org/officeDocument/2006/customXml" ds:itemID="{E80DFCD3-4AE9-4C46-99D5-BC648144B97A}">
  <ds:schemaRefs/>
</ds:datastoreItem>
</file>

<file path=customXml/itemProps19.xml><?xml version="1.0" encoding="utf-8"?>
<ds:datastoreItem xmlns:ds="http://schemas.openxmlformats.org/officeDocument/2006/customXml" ds:itemID="{3FAA6B86-59E0-4A33-8E3C-DB49B934FF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Jogo 2</vt:lpstr>
      <vt:lpstr>Jogo 1</vt:lpstr>
      <vt:lpstr>Line up</vt:lpstr>
      <vt:lpstr>Média VGBB25</vt:lpstr>
      <vt:lpstr>MVP</vt:lpstr>
      <vt:lpstr>MIP Dados</vt:lpstr>
      <vt:lpstr>MIP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Danziger Guimarães de Andrade</dc:creator>
  <cp:lastModifiedBy>Lucas Danziger Guimarães de Andrade</cp:lastModifiedBy>
  <dcterms:created xsi:type="dcterms:W3CDTF">2025-11-26T23:49:04Z</dcterms:created>
  <dcterms:modified xsi:type="dcterms:W3CDTF">2025-12-04T14:35:57Z</dcterms:modified>
</cp:coreProperties>
</file>