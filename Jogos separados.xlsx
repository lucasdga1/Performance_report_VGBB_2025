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slicers/slicer1.xml" ContentType="application/vnd.ms-excel.slicer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ocumentos\Data Science\Projeto Varsity girls 25-26\Dados organizados jogos\"/>
    </mc:Choice>
  </mc:AlternateContent>
  <xr:revisionPtr revIDLastSave="0" documentId="13_ncr:1_{450ADF6E-EEBB-4438-A5C7-4F263CE41E4C}" xr6:coauthVersionLast="47" xr6:coauthVersionMax="47" xr10:uidLastSave="{00000000-0000-0000-0000-000000000000}"/>
  <bookViews>
    <workbookView xWindow="11424" yWindow="0" windowWidth="11712" windowHeight="12336" firstSheet="8" activeTab="8" xr2:uid="{C0F4B118-9A3B-44BA-82C2-79B379D02040}"/>
  </bookViews>
  <sheets>
    <sheet name="Vs PASPOA" sheetId="12" state="hidden" r:id="rId1"/>
    <sheet name="Vs Chapel" sheetId="10" state="hidden" r:id="rId2"/>
    <sheet name="Vs British" sheetId="8" state="hidden" r:id="rId3"/>
    <sheet name="Vs Graded" sheetId="7" state="hidden" r:id="rId4"/>
    <sheet name="Vs Colégio militar" sheetId="2" state="hidden" r:id="rId5"/>
    <sheet name="Vs EAC" sheetId="14" state="hidden" r:id="rId6"/>
    <sheet name="Vs Cesta de ouro1" sheetId="5" state="hidden" r:id="rId7"/>
    <sheet name="Vs Insana Unb" sheetId="15" state="hidden" r:id="rId8"/>
    <sheet name="TEAM REPORT" sheetId="18" r:id="rId9"/>
    <sheet name="Vs_Cesta_de_ouro_2" sheetId="17" r:id="rId10"/>
    <sheet name="Vs EAR" sheetId="6" state="hidden" r:id="rId11"/>
  </sheets>
  <definedNames>
    <definedName name="DadosExternos_1" localSheetId="4" hidden="1">'Vs Colégio militar'!$A$1:$AE$3</definedName>
    <definedName name="DadosExternos_1" localSheetId="10" hidden="1">'Vs EAR'!$A$1:$AF$3</definedName>
    <definedName name="DadosExternos_2" localSheetId="6" hidden="1">'Vs Cesta de ouro1'!$A$1:$AE$3</definedName>
    <definedName name="DadosExternos_2" localSheetId="3" hidden="1">'Vs Graded'!$A$1:$AE$3</definedName>
    <definedName name="DadosExternos_2" localSheetId="7" hidden="1">'Vs Insana Unb'!$A$1:$AE$3</definedName>
    <definedName name="DadosExternos_2" localSheetId="9" hidden="1">Vs_Cesta_de_ouro_2!$A$1:$V$21</definedName>
    <definedName name="DadosExternos_3" localSheetId="2" hidden="1">'Vs British'!$A$1:$AE$3</definedName>
    <definedName name="DadosExternos_3" localSheetId="5" hidden="1">'Vs EAC'!$A$1:$AF$3</definedName>
    <definedName name="DadosExternos_4" localSheetId="1" hidden="1">'Vs Chapel'!$A$1:$AE$3</definedName>
    <definedName name="DadosExternos_5" localSheetId="0" hidden="1">'Vs PASPOA'!$A$1:$AE$3</definedName>
    <definedName name="SegmentaçãodeDados_Defense">#N/A</definedName>
    <definedName name="SegmentaçãodeDados_Defense1">#N/A</definedName>
  </definedNames>
  <calcPr calcId="191029"/>
  <pivotCaches>
    <pivotCache cacheId="2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7" l="1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" i="17"/>
  <c r="AA2" i="17" l="1"/>
  <c r="J17" i="18"/>
  <c r="J19" i="18"/>
  <c r="J21" i="18"/>
  <c r="J20" i="18"/>
  <c r="J22" i="18"/>
  <c r="J23" i="18"/>
  <c r="J25" i="18"/>
  <c r="J24" i="18"/>
  <c r="J26" i="18"/>
  <c r="J18" i="18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" i="17"/>
  <c r="Z21" i="17"/>
  <c r="Z19" i="17"/>
  <c r="Z17" i="17"/>
  <c r="Z15" i="17"/>
  <c r="Z13" i="17"/>
  <c r="Z11" i="17"/>
  <c r="Z9" i="17"/>
  <c r="Z7" i="17"/>
  <c r="Z5" i="17"/>
  <c r="Z20" i="17"/>
  <c r="Z18" i="17"/>
  <c r="Z16" i="17"/>
  <c r="Z14" i="17"/>
  <c r="Z12" i="17"/>
  <c r="Z10" i="17"/>
  <c r="Z8" i="17"/>
  <c r="Z6" i="17"/>
  <c r="Z4" i="17"/>
  <c r="Z3" i="17"/>
  <c r="AC3" i="17"/>
  <c r="AC4" i="17"/>
  <c r="AC5" i="17"/>
  <c r="AC6" i="17"/>
  <c r="AC7" i="17"/>
  <c r="AC8" i="17"/>
  <c r="AC9" i="17"/>
  <c r="AC10" i="17"/>
  <c r="AC11" i="17"/>
  <c r="AC12" i="17"/>
  <c r="AC13" i="17"/>
  <c r="AC14" i="17"/>
  <c r="AC15" i="17"/>
  <c r="AC16" i="17"/>
  <c r="AC17" i="17"/>
  <c r="AC18" i="17"/>
  <c r="AC19" i="17"/>
  <c r="AC20" i="17"/>
  <c r="AC21" i="17"/>
  <c r="AC2" i="17"/>
  <c r="AA3" i="17"/>
  <c r="AA4" i="17"/>
  <c r="AA5" i="17"/>
  <c r="AA6" i="17"/>
  <c r="AA7" i="17"/>
  <c r="AA8" i="17"/>
  <c r="AA9" i="17"/>
  <c r="AA10" i="17"/>
  <c r="AA11" i="17"/>
  <c r="AA12" i="17"/>
  <c r="AA13" i="17"/>
  <c r="AA14" i="17"/>
  <c r="AA15" i="17"/>
  <c r="AA16" i="17"/>
  <c r="AA17" i="17"/>
  <c r="AA18" i="17"/>
  <c r="AA19" i="17"/>
  <c r="AA20" i="17"/>
  <c r="AA21" i="17"/>
  <c r="Z2" i="17"/>
  <c r="Y3" i="17"/>
  <c r="Y4" i="17"/>
  <c r="Y5" i="17"/>
  <c r="Y6" i="17"/>
  <c r="Y7" i="17"/>
  <c r="Y8" i="17"/>
  <c r="Y9" i="17"/>
  <c r="Y10" i="17"/>
  <c r="Y11" i="17"/>
  <c r="Y12" i="17"/>
  <c r="Y13" i="17"/>
  <c r="Y14" i="17"/>
  <c r="Y15" i="17"/>
  <c r="Y16" i="17"/>
  <c r="Y17" i="17"/>
  <c r="Y18" i="17"/>
  <c r="Y19" i="17"/>
  <c r="Y20" i="17"/>
  <c r="Y21" i="17"/>
  <c r="Y2" i="17"/>
  <c r="X3" i="17"/>
  <c r="X4" i="17"/>
  <c r="X5" i="17"/>
  <c r="X6" i="17"/>
  <c r="X7" i="17"/>
  <c r="X8" i="17"/>
  <c r="X9" i="17"/>
  <c r="X10" i="17"/>
  <c r="X11" i="17"/>
  <c r="X12" i="17"/>
  <c r="X13" i="17"/>
  <c r="X14" i="17"/>
  <c r="X15" i="17"/>
  <c r="X16" i="17"/>
  <c r="X17" i="17"/>
  <c r="X18" i="17"/>
  <c r="X19" i="17"/>
  <c r="X20" i="17"/>
  <c r="X21" i="17"/>
  <c r="X2" i="17"/>
  <c r="W3" i="17"/>
  <c r="W4" i="17"/>
  <c r="W5" i="17"/>
  <c r="W6" i="17"/>
  <c r="W7" i="17"/>
  <c r="W8" i="17"/>
  <c r="W9" i="17"/>
  <c r="W10" i="17"/>
  <c r="W11" i="17"/>
  <c r="W12" i="17"/>
  <c r="W13" i="17"/>
  <c r="W14" i="17"/>
  <c r="W15" i="17"/>
  <c r="W16" i="17"/>
  <c r="W17" i="17"/>
  <c r="W18" i="17"/>
  <c r="W19" i="17"/>
  <c r="W20" i="17"/>
  <c r="W21" i="17"/>
  <c r="W2" i="1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4665FD-8A8F-4027-9AA6-DA77F093968D}" keepAlive="1" name="Consulta - Table005 (Page 1)" description="Conexão com a consulta 'Table005 (Page 1)' na pasta de trabalho." type="5" refreshedVersion="0" background="1">
    <dbPr connection="Provider=Microsoft.Mashup.OleDb.1;Data Source=$Workbook$;Location=&quot;Table005 (Page 1)&quot;;Extended Properties=&quot;&quot;" command="SELECT * FROM [Table005 (Page 1)]"/>
  </connection>
  <connection id="2" xr16:uid="{C65B4B52-EA5E-4B24-B635-2775335CD928}" keepAlive="1" name="Consulta - Table006 (Page 1)" description="Conexão com a consulta 'Table006 (Page 1)' na pasta de trabalho." type="5" refreshedVersion="8" background="1" saveData="1">
    <dbPr connection="Provider=Microsoft.Mashup.OleDb.1;Data Source=$Workbook$;Location=&quot;Table006 (Page 1)&quot;;Extended Properties=&quot;&quot;" command="SELECT * FROM [Table006 (Page 1)]"/>
  </connection>
  <connection id="3" xr16:uid="{80CEFC77-6E37-4A74-9DCB-8D086DFA94E4}" keepAlive="1" name="Consulta - Table006 (Page 1) (2)" description="Conexão com a consulta 'Table006 (Page 1) (2)' na pasta de trabalho." type="5" refreshedVersion="8" background="1" saveData="1">
    <dbPr connection="Provider=Microsoft.Mashup.OleDb.1;Data Source=$Workbook$;Location=&quot;Table006 (Page 1) (2)&quot;;Extended Properties=&quot;&quot;" command="SELECT * FROM [Table006 (Page 1) (2)]"/>
  </connection>
  <connection id="4" xr16:uid="{8FD1A3F8-F995-473C-8621-8CF053F50726}" keepAlive="1" name="Consulta - Table006 (Page 1) (3)" description="Conexão com a consulta 'Table006 (Page 1) (3)' na pasta de trabalho." type="5" refreshedVersion="8" background="1" saveData="1">
    <dbPr connection="Provider=Microsoft.Mashup.OleDb.1;Data Source=$Workbook$;Location=&quot;Table006 (Page 1) (3)&quot;;Extended Properties=&quot;&quot;" command="SELECT * FROM [Table006 (Page 1) (3)]"/>
  </connection>
  <connection id="5" xr16:uid="{8640E865-1208-4A1A-A632-592387635802}" keepAlive="1" name="Consulta - Table006 (Page 1) (4)" description="Conexão com a consulta 'Table006 (Page 1) (4)' na pasta de trabalho." type="5" refreshedVersion="8" background="1" saveData="1">
    <dbPr connection="Provider=Microsoft.Mashup.OleDb.1;Data Source=$Workbook$;Location=&quot;Table006 (Page 1) (4)&quot;;Extended Properties=&quot;&quot;" command="SELECT * FROM [Table006 (Page 1) (4)]"/>
  </connection>
  <connection id="6" xr16:uid="{8B1A334E-5A70-49B5-893D-AFD260EAB228}" keepAlive="1" name="Consulta - Table006 (Page 1) (5)" description="Conexão com a consulta 'Table006 (Page 1) (5)' na pasta de trabalho." type="5" refreshedVersion="8" background="1" saveData="1">
    <dbPr connection="Provider=Microsoft.Mashup.OleDb.1;Data Source=$Workbook$;Location=&quot;Table006 (Page 1) (5)&quot;;Extended Properties=&quot;&quot;" command="SELECT * FROM [Table006 (Page 1) (5)]"/>
  </connection>
  <connection id="7" xr16:uid="{E3CB1BB0-4814-4B44-B65C-4E19CEA937DA}" keepAlive="1" name="Consulta - Table006 (Page 1) (6)" description="Conexão com a consulta 'Table006 (Page 1) (6)' na pasta de trabalho." type="5" refreshedVersion="8" background="1" saveData="1">
    <dbPr connection="Provider=Microsoft.Mashup.OleDb.1;Data Source=$Workbook$;Location=&quot;Table006 (Page 1) (6)&quot;;Extended Properties=&quot;&quot;" command="SELECT * FROM [Table006 (Page 1) (6)]"/>
  </connection>
  <connection id="8" xr16:uid="{1BCF56CA-2AAF-4625-92B3-B278DD08912F}" keepAlive="1" name="Consulta - Vs_British" description="Conexão com a consulta 'Vs_British' na pasta de trabalho." type="5" refreshedVersion="8" background="1" saveData="1">
    <dbPr connection="Provider=Microsoft.Mashup.OleDb.1;Data Source=$Workbook$;Location=Vs_British;Extended Properties=&quot;&quot;" command="SELECT * FROM [Vs_British]"/>
  </connection>
  <connection id="9" xr16:uid="{2CA53526-E289-4AD8-98FA-097835084C84}" keepAlive="1" name="Consulta - Vs_Cesta_de_ouro_1" description="Conexão com a consulta 'Vs_Cesta_de_ouro_1' na pasta de trabalho." type="5" refreshedVersion="8" background="1" saveData="1">
    <dbPr connection="Provider=Microsoft.Mashup.OleDb.1;Data Source=$Workbook$;Location=Vs_Cesta_de_ouro_1;Extended Properties=&quot;&quot;" command="SELECT * FROM [Vs_Cesta_de_ouro_1]"/>
  </connection>
  <connection id="10" xr16:uid="{AF7E2B5E-F0D3-4DA9-B633-A8EC3060C5F0}" keepAlive="1" name="Consulta - Vs_Cesta_de_ouro_2" description="Conexão com a consulta 'Vs_Cesta_de_ouro_2' na pasta de trabalho." type="5" refreshedVersion="8" background="1" saveData="1">
    <dbPr connection="Provider=Microsoft.Mashup.OleDb.1;Data Source=$Workbook$;Location=Vs_Cesta_de_ouro_2;Extended Properties=&quot;&quot;" command="SELECT * FROM [Vs_Cesta_de_ouro_2]"/>
  </connection>
  <connection id="11" xr16:uid="{DA4B03D6-3471-4D73-9C0C-19BC79ECE01A}" keepAlive="1" name="Consulta - Vs_Chapel" description="Conexão com a consulta 'Vs_Chapel' na pasta de trabalho." type="5" refreshedVersion="8" background="1" saveData="1">
    <dbPr connection="Provider=Microsoft.Mashup.OleDb.1;Data Source=$Workbook$;Location=Vs_Chapel;Extended Properties=&quot;&quot;" command="SELECT * FROM [Vs_Chapel]"/>
  </connection>
  <connection id="12" xr16:uid="{A248A6CE-156D-4FE6-AE72-7228A8E7418F}" keepAlive="1" name="Consulta - Vs_Colégio_Militar" description="Conexão com a consulta 'Vs_Colégio_Militar' na pasta de trabalho." type="5" refreshedVersion="8" background="1" saveData="1">
    <dbPr connection="Provider=Microsoft.Mashup.OleDb.1;Data Source=$Workbook$;Location=Vs_Colégio_Militar;Extended Properties=&quot;&quot;" command="SELECT * FROM [Vs_Colégio_Militar]"/>
  </connection>
  <connection id="13" xr16:uid="{99448E10-9AB8-4C89-A512-65EFE68F5D07}" keepAlive="1" name="Consulta - Vs_EAC" description="Conexão com a consulta 'Vs_EAC' na pasta de trabalho." type="5" refreshedVersion="8" background="1" saveData="1">
    <dbPr connection="Provider=Microsoft.Mashup.OleDb.1;Data Source=$Workbook$;Location=Vs_EAC;Extended Properties=&quot;&quot;" command="SELECT * FROM [Vs_EAC]"/>
  </connection>
  <connection id="14" xr16:uid="{4D6DDE55-1D35-43A4-88E9-A9C5CBA7905F}" keepAlive="1" name="Consulta - Vs_EAR" description="Conexão com a consulta 'Vs_EAR' na pasta de trabalho." type="5" refreshedVersion="8" background="1" saveData="1">
    <dbPr connection="Provider=Microsoft.Mashup.OleDb.1;Data Source=$Workbook$;Location=Vs_EAR;Extended Properties=&quot;&quot;" command="SELECT * FROM [Vs_EAR]"/>
  </connection>
  <connection id="15" xr16:uid="{9FD9C2F8-B097-4951-A35D-A06DBC5E692C}" keepAlive="1" name="Consulta - Vs_Graded" description="Conexão com a consulta 'Vs_Graded' na pasta de trabalho." type="5" refreshedVersion="8" background="1" saveData="1">
    <dbPr connection="Provider=Microsoft.Mashup.OleDb.1;Data Source=$Workbook$;Location=Vs_Graded;Extended Properties=&quot;&quot;" command="SELECT * FROM [Vs_Graded]"/>
  </connection>
  <connection id="16" xr16:uid="{FD70FCD4-9EDD-4695-BCDA-4A235CBBA389}" keepAlive="1" name="Consulta - Vs_Insana_UnB" description="Conexão com a consulta 'Vs_Insana_UnB' na pasta de trabalho." type="5" refreshedVersion="8" background="1" saveData="1">
    <dbPr connection="Provider=Microsoft.Mashup.OleDb.1;Data Source=$Workbook$;Location=Vs_Insana_UnB;Extended Properties=&quot;&quot;" command="SELECT * FROM [Vs_Insana_UnB]"/>
  </connection>
  <connection id="17" xr16:uid="{294BC7C7-7E51-40CB-B54F-13ABC6533D78}" keepAlive="1" name="Consulta - Vs_PASPOA" description="Conexão com a consulta 'Vs_PASPOA' na pasta de trabalho." type="5" refreshedVersion="8" background="1" saveData="1">
    <dbPr connection="Provider=Microsoft.Mashup.OleDb.1;Data Source=$Workbook$;Location=Vs_PASPOA;Extended Properties=&quot;&quot;" command="SELECT * FROM [Vs_PASPOA]"/>
  </connection>
</connections>
</file>

<file path=xl/sharedStrings.xml><?xml version="1.0" encoding="utf-8"?>
<sst xmlns="http://schemas.openxmlformats.org/spreadsheetml/2006/main" count="639" uniqueCount="164">
  <si>
    <t>Team</t>
  </si>
  <si>
    <t>Player</t>
  </si>
  <si>
    <t>No.</t>
  </si>
  <si>
    <t>GP</t>
  </si>
  <si>
    <t>MIN</t>
  </si>
  <si>
    <t>PTS</t>
  </si>
  <si>
    <t>PPG</t>
  </si>
  <si>
    <t>FG/FGA</t>
  </si>
  <si>
    <t>FG%</t>
  </si>
  <si>
    <t>2P/2PA</t>
  </si>
  <si>
    <t>2P%</t>
  </si>
  <si>
    <t>3P/3PA</t>
  </si>
  <si>
    <t>3P%</t>
  </si>
  <si>
    <t>FT/FTA</t>
  </si>
  <si>
    <t>FT%</t>
  </si>
  <si>
    <t>REB</t>
  </si>
  <si>
    <t>OR</t>
  </si>
  <si>
    <t>DR</t>
  </si>
  <si>
    <t>AST</t>
  </si>
  <si>
    <t>STL</t>
  </si>
  <si>
    <t>BLK</t>
  </si>
  <si>
    <t>BLKR</t>
  </si>
  <si>
    <t>DEF</t>
  </si>
  <si>
    <t>TO</t>
  </si>
  <si>
    <t>POT</t>
  </si>
  <si>
    <t>SCP</t>
  </si>
  <si>
    <t>EFF</t>
  </si>
  <si>
    <t>PIR</t>
  </si>
  <si>
    <t>+ / -</t>
  </si>
  <si>
    <t>PF</t>
  </si>
  <si>
    <t>PFR</t>
  </si>
  <si>
    <t>Colegio
Militar</t>
  </si>
  <si>
    <t>--</t>
  </si>
  <si>
    <t>1</t>
  </si>
  <si>
    <t>-</t>
  </si>
  <si>
    <t>14/57</t>
  </si>
  <si>
    <t>14/53</t>
  </si>
  <si>
    <t>0/4</t>
  </si>
  <si>
    <t>1/9</t>
  </si>
  <si>
    <t>EAB</t>
  </si>
  <si>
    <t>Total</t>
  </si>
  <si>
    <t>6/37</t>
  </si>
  <si>
    <t>5/24</t>
  </si>
  <si>
    <t>1/13</t>
  </si>
  <si>
    <t>0/5</t>
  </si>
  <si>
    <t>1/5</t>
  </si>
  <si>
    <t>7/36</t>
  </si>
  <si>
    <t>7/25</t>
  </si>
  <si>
    <t>0/11</t>
  </si>
  <si>
    <t>9/53</t>
  </si>
  <si>
    <t>9/39</t>
  </si>
  <si>
    <t>0/14</t>
  </si>
  <si>
    <t>2/7</t>
  </si>
  <si>
    <t>C
0</t>
  </si>
  <si>
    <t>11/45</t>
  </si>
  <si>
    <t>9/35</t>
  </si>
  <si>
    <t>2/10</t>
  </si>
  <si>
    <t>2/14</t>
  </si>
  <si>
    <t>EAR</t>
  </si>
  <si>
    <t>6/56</t>
  </si>
  <si>
    <t>6/40</t>
  </si>
  <si>
    <t>0/16</t>
  </si>
  <si>
    <t>1/4</t>
  </si>
  <si>
    <t>PF R</t>
  </si>
  <si>
    <t>7/28</t>
  </si>
  <si>
    <t>6/24</t>
  </si>
  <si>
    <t>Graded</t>
  </si>
  <si>
    <t>19/83</t>
  </si>
  <si>
    <t>19/78</t>
  </si>
  <si>
    <t>2/4</t>
  </si>
  <si>
    <t>British</t>
  </si>
  <si>
    <t>12/50</t>
  </si>
  <si>
    <t>12/46</t>
  </si>
  <si>
    <t>4/7</t>
  </si>
  <si>
    <t>7/31</t>
  </si>
  <si>
    <t>6/20</t>
  </si>
  <si>
    <t>1/11</t>
  </si>
  <si>
    <t>Chapel</t>
  </si>
  <si>
    <t>17/54</t>
  </si>
  <si>
    <t>16/51</t>
  </si>
  <si>
    <t>1/3</t>
  </si>
  <si>
    <t>5/9</t>
  </si>
  <si>
    <t>5/51</t>
  </si>
  <si>
    <t>3/35</t>
  </si>
  <si>
    <t>2/16</t>
  </si>
  <si>
    <t>2/2</t>
  </si>
  <si>
    <t>0/2</t>
  </si>
  <si>
    <t>16/45</t>
  </si>
  <si>
    <t>16/41</t>
  </si>
  <si>
    <t>PASPOA</t>
  </si>
  <si>
    <t>4/26</t>
  </si>
  <si>
    <t>4/24</t>
  </si>
  <si>
    <t>3/29</t>
  </si>
  <si>
    <t>3/22</t>
  </si>
  <si>
    <t>0/7</t>
  </si>
  <si>
    <t>1/2</t>
  </si>
  <si>
    <t>EAC</t>
  </si>
  <si>
    <t>9/37</t>
  </si>
  <si>
    <t>8/27</t>
  </si>
  <si>
    <t>1/10</t>
  </si>
  <si>
    <t>3/5</t>
  </si>
  <si>
    <t>2/38</t>
  </si>
  <si>
    <t>2/23</t>
  </si>
  <si>
    <t>0/15</t>
  </si>
  <si>
    <t>3/8</t>
  </si>
  <si>
    <t>Insana
Unb</t>
  </si>
  <si>
    <t>13/46</t>
  </si>
  <si>
    <t>13/41</t>
  </si>
  <si>
    <t>3/12</t>
  </si>
  <si>
    <t>Cesta de ouro</t>
  </si>
  <si>
    <t>Opponent</t>
  </si>
  <si>
    <t>Defense</t>
  </si>
  <si>
    <t>FG</t>
  </si>
  <si>
    <t>FGA</t>
  </si>
  <si>
    <t>2P</t>
  </si>
  <si>
    <t>2PA</t>
  </si>
  <si>
    <t>3P</t>
  </si>
  <si>
    <t>3PA</t>
  </si>
  <si>
    <t>FT</t>
  </si>
  <si>
    <t>FTA</t>
  </si>
  <si>
    <t>Zona</t>
  </si>
  <si>
    <t>6</t>
  </si>
  <si>
    <t>2-3</t>
  </si>
  <si>
    <t>4</t>
  </si>
  <si>
    <t>9</t>
  </si>
  <si>
    <t>Colegio Militar</t>
  </si>
  <si>
    <t>3-2</t>
  </si>
  <si>
    <t>5</t>
  </si>
  <si>
    <t>7</t>
  </si>
  <si>
    <t>Individual</t>
  </si>
  <si>
    <t>14</t>
  </si>
  <si>
    <t>2</t>
  </si>
  <si>
    <t>8</t>
  </si>
  <si>
    <t>3</t>
  </si>
  <si>
    <t>Insana Unb</t>
  </si>
  <si>
    <t>12</t>
  </si>
  <si>
    <t>POSSE</t>
  </si>
  <si>
    <t>TO/POSSE</t>
  </si>
  <si>
    <t>PTS/100</t>
  </si>
  <si>
    <t>PACE</t>
  </si>
  <si>
    <t>OFFRTG</t>
  </si>
  <si>
    <t>DEFRTG</t>
  </si>
  <si>
    <t>NETRTG</t>
  </si>
  <si>
    <t>Média de PTS</t>
  </si>
  <si>
    <t>Média de FG%</t>
  </si>
  <si>
    <t>Média de REB</t>
  </si>
  <si>
    <t>Média de TO/POSSE</t>
  </si>
  <si>
    <t>Média de PACE</t>
  </si>
  <si>
    <t>Média de OFFRTG</t>
  </si>
  <si>
    <t>Média de DEFRTG</t>
  </si>
  <si>
    <t>Média de NETRTG</t>
  </si>
  <si>
    <t>Teams</t>
  </si>
  <si>
    <t>Class PTS</t>
  </si>
  <si>
    <t>Class FG%</t>
  </si>
  <si>
    <t>Class REB</t>
  </si>
  <si>
    <t>Class TO/POSSE</t>
  </si>
  <si>
    <t>Class PACE</t>
  </si>
  <si>
    <t>Class OFFRTG</t>
  </si>
  <si>
    <t>Class DEFRTG</t>
  </si>
  <si>
    <t>Class NETRTG</t>
  </si>
  <si>
    <t>TOTAL</t>
  </si>
  <si>
    <t>Média de OR</t>
  </si>
  <si>
    <t>Defesas enfrentadas</t>
  </si>
  <si>
    <t>Equipe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</si>
</sst>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2" fontId="0" fillId="0" borderId="0" xfId="0" applyNumberFormat="1"/>
    <xf numFmtId="0" fontId="3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3" fillId="2" borderId="0" xfId="0" applyFont="1" applyFill="1"/>
    <xf numFmtId="9" fontId="0" fillId="0" borderId="0" xfId="1" applyFont="1"/>
    <xf numFmtId="9" fontId="0" fillId="0" borderId="0" xfId="0" applyNumberFormat="1"/>
    <xf numFmtId="0" fontId="0" fillId="0" borderId="0" xfId="0" applyNumberFormat="1"/>
    <xf numFmtId="0" fontId="0" fillId="0" borderId="0" xfId="0" applyAlignment="1">
      <alignment horizontal="left" indent="1"/>
    </xf>
  </cellXfs>
  <cellStyles count="2">
    <cellStyle name="Normal" xfId="0" builtinId="0"/>
    <cellStyle name="Porcentagem" xfId="1" builtinId="5"/>
  </cellStyles>
  <dxfs count="134">
    <dxf>
      <numFmt numFmtId="13" formatCode="0%"/>
    </dxf>
    <dxf>
      <numFmt numFmtId="2" formatCode="0.00"/>
    </dxf>
    <dxf>
      <numFmt numFmtId="2" formatCode="0.00"/>
    </dxf>
    <dxf>
      <numFmt numFmtId="13" formatCode="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3" formatCode="0%"/>
    </dxf>
    <dxf>
      <numFmt numFmtId="2" formatCode="0.00"/>
    </dxf>
    <dxf>
      <numFmt numFmtId="2" formatCode="0.00"/>
    </dxf>
    <dxf>
      <numFmt numFmtId="13" formatCode="0%"/>
    </dxf>
    <dxf>
      <numFmt numFmtId="2" formatCode="0.00"/>
    </dxf>
    <dxf>
      <numFmt numFmtId="2" formatCode="0.00"/>
    </dxf>
    <dxf>
      <numFmt numFmtId="13" formatCode="0%"/>
    </dxf>
    <dxf>
      <numFmt numFmtId="2" formatCode="0.00"/>
    </dxf>
    <dxf>
      <numFmt numFmtId="2" formatCode="0.00"/>
    </dxf>
    <dxf>
      <numFmt numFmtId="13" formatCode="0%"/>
    </dxf>
    <dxf>
      <numFmt numFmtId="2" formatCode="0.00"/>
    </dxf>
    <dxf>
      <numFmt numFmtId="2" formatCode="0.00"/>
    </dxf>
    <dxf>
      <numFmt numFmtId="13" formatCode="0%"/>
    </dxf>
    <dxf>
      <numFmt numFmtId="2" formatCode="0.00"/>
    </dxf>
    <dxf>
      <numFmt numFmtId="2" formatCode="0.00"/>
    </dxf>
    <dxf>
      <numFmt numFmtId="13" formatCode="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3" formatCode="0%"/>
    </dxf>
    <dxf>
      <numFmt numFmtId="2" formatCode="0.00"/>
    </dxf>
    <dxf>
      <numFmt numFmtId="2" formatCode="0.00"/>
    </dxf>
    <dxf>
      <numFmt numFmtId="13" formatCode="0%"/>
    </dxf>
    <dxf>
      <numFmt numFmtId="2" formatCode="0.00"/>
    </dxf>
    <dxf>
      <numFmt numFmtId="2" formatCode="0.00"/>
    </dxf>
    <dxf>
      <numFmt numFmtId="13" formatCode="0%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2" formatCode="0.00"/>
    </dxf>
    <dxf>
      <numFmt numFmtId="2" formatCode="0.00"/>
    </dxf>
    <dxf>
      <numFmt numFmtId="13" formatCode="0%"/>
    </dxf>
    <dxf>
      <numFmt numFmtId="2" formatCode="0.00"/>
    </dxf>
    <dxf>
      <numFmt numFmtId="2" formatCode="0.00"/>
    </dxf>
    <dxf>
      <numFmt numFmtId="13" formatCode="0%"/>
    </dxf>
    <dxf>
      <numFmt numFmtId="2" formatCode="0.00"/>
    </dxf>
    <dxf>
      <numFmt numFmtId="2" formatCode="0.00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289560</xdr:colOff>
      <xdr:row>1</xdr:row>
      <xdr:rowOff>121921</xdr:rowOff>
    </xdr:from>
    <xdr:to>
      <xdr:col>24</xdr:col>
      <xdr:colOff>739140</xdr:colOff>
      <xdr:row>8</xdr:row>
      <xdr:rowOff>45721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efense">
              <a:extLst>
                <a:ext uri="{FF2B5EF4-FFF2-40B4-BE49-F238E27FC236}">
                  <a16:creationId xmlns:a16="http://schemas.microsoft.com/office/drawing/2014/main" id="{74422647-AD46-FB10-6B94-E40BB08FF2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fens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541240" y="304801"/>
              <a:ext cx="1828800" cy="12039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236220</xdr:colOff>
      <xdr:row>9</xdr:row>
      <xdr:rowOff>30481</xdr:rowOff>
    </xdr:from>
    <xdr:to>
      <xdr:col>24</xdr:col>
      <xdr:colOff>685800</xdr:colOff>
      <xdr:row>14</xdr:row>
      <xdr:rowOff>99061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efense 1">
              <a:extLst>
                <a:ext uri="{FF2B5EF4-FFF2-40B4-BE49-F238E27FC236}">
                  <a16:creationId xmlns:a16="http://schemas.microsoft.com/office/drawing/2014/main" id="{63785DB2-B0BA-5F0E-2BB1-D9B0ECAA6E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fens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487900" y="1676401"/>
              <a:ext cx="1828800" cy="9829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Danziger Guimarães de Andrade" refreshedDate="45989.747958449072" createdVersion="8" refreshedVersion="8" minRefreshableVersion="3" recordCount="20" xr:uid="{08EAA08C-A845-49A9-B4AC-E3A7B2987A8B}">
  <cacheSource type="worksheet">
    <worksheetSource name="Vs_Cesta_de_ouro_2"/>
  </cacheSource>
  <cacheFields count="29">
    <cacheField name="Team" numFmtId="0">
      <sharedItems count="10">
        <s v="Cesta de ouro"/>
        <s v="EAB"/>
        <s v="Colegio_x000a_Militar"/>
        <s v="EAR"/>
        <s v="Graded"/>
        <s v="British"/>
        <s v="Chapel"/>
        <s v="PASPOA"/>
        <s v="EAC"/>
        <s v="Insana_x000a_Unb"/>
      </sharedItems>
    </cacheField>
    <cacheField name="Opponent" numFmtId="0">
      <sharedItems count="10">
        <s v="EAB"/>
        <s v="Cesta de ouro"/>
        <s v="Colegio Militar"/>
        <s v="EAR"/>
        <s v="Graded"/>
        <s v="British"/>
        <s v="Chapel"/>
        <s v="PASPOA"/>
        <s v="EAC"/>
        <s v="Insana Unb"/>
      </sharedItems>
    </cacheField>
    <cacheField name="Defense" numFmtId="0">
      <sharedItems count="4">
        <s v="Zona"/>
        <s v="2-3"/>
        <s v="3-2"/>
        <s v="Individual"/>
      </sharedItems>
    </cacheField>
    <cacheField name="PTS" numFmtId="0">
      <sharedItems containsSemiMixedTypes="0" containsString="0" containsNumber="1" containsInteger="1" minValue="7" maxValue="40"/>
    </cacheField>
    <cacheField name="FG" numFmtId="0">
      <sharedItems containsSemiMixedTypes="0" containsString="0" containsNumber="1" containsInteger="1" minValue="2" maxValue="19"/>
    </cacheField>
    <cacheField name="FGA" numFmtId="0">
      <sharedItems containsSemiMixedTypes="0" containsString="0" containsNumber="1" containsInteger="1" minValue="26" maxValue="83"/>
    </cacheField>
    <cacheField name="FG%" numFmtId="9">
      <sharedItems containsSemiMixedTypes="0" containsString="0" containsNumber="1" minValue="5.2631578947368418E-2" maxValue="0.35555555555555557"/>
    </cacheField>
    <cacheField name="2P" numFmtId="0">
      <sharedItems containsSemiMixedTypes="0" containsString="0" containsNumber="1" containsInteger="1" minValue="2" maxValue="19"/>
    </cacheField>
    <cacheField name="2PA" numFmtId="0">
      <sharedItems containsSemiMixedTypes="0" containsString="0" containsNumber="1" containsInteger="1" minValue="20" maxValue="78"/>
    </cacheField>
    <cacheField name="2P%" numFmtId="0">
      <sharedItems containsSemiMixedTypes="0" containsString="0" containsNumber="1" containsInteger="1" minValue="86" maxValue="390"/>
    </cacheField>
    <cacheField name="3P" numFmtId="0">
      <sharedItems containsSemiMixedTypes="0" containsString="0" containsNumber="1" containsInteger="1" minValue="0" maxValue="2"/>
    </cacheField>
    <cacheField name="3PA" numFmtId="0">
      <sharedItems containsSemiMixedTypes="0" containsString="0" containsNumber="1" containsInteger="1" minValue="2" maxValue="16"/>
    </cacheField>
    <cacheField name="3P%" numFmtId="0">
      <sharedItems containsSemiMixedTypes="0" containsString="0" containsNumber="1" containsInteger="1" minValue="0" maxValue="333"/>
    </cacheField>
    <cacheField name="FT" numFmtId="0">
      <sharedItems containsSemiMixedTypes="0" containsString="0" containsNumber="1" containsInteger="1" minValue="0" maxValue="5"/>
    </cacheField>
    <cacheField name="FTA" numFmtId="0">
      <sharedItems/>
    </cacheField>
    <cacheField name="FT%" numFmtId="0">
      <sharedItems containsSemiMixedTypes="0" containsString="0" containsNumber="1" containsInteger="1" minValue="0" maxValue="1000"/>
    </cacheField>
    <cacheField name="REB" numFmtId="0">
      <sharedItems containsSemiMixedTypes="0" containsString="0" containsNumber="1" containsInteger="1" minValue="15" maxValue="46"/>
    </cacheField>
    <cacheField name="OR" numFmtId="0">
      <sharedItems containsSemiMixedTypes="0" containsString="0" containsNumber="1" containsInteger="1" minValue="4" maxValue="35"/>
    </cacheField>
    <cacheField name="DR" numFmtId="0">
      <sharedItems containsSemiMixedTypes="0" containsString="0" containsNumber="1" containsInteger="1" minValue="8" maxValue="27"/>
    </cacheField>
    <cacheField name="AST" numFmtId="0">
      <sharedItems containsSemiMixedTypes="0" containsString="0" containsNumber="1" containsInteger="1" minValue="0" maxValue="8"/>
    </cacheField>
    <cacheField name="STL" numFmtId="0">
      <sharedItems containsSemiMixedTypes="0" containsString="0" containsNumber="1" containsInteger="1" minValue="0" maxValue="32"/>
    </cacheField>
    <cacheField name="TO" numFmtId="0">
      <sharedItems containsSemiMixedTypes="0" containsString="0" containsNumber="1" containsInteger="1" minValue="10" maxValue="46"/>
    </cacheField>
    <cacheField name="POSSE" numFmtId="0">
      <sharedItems containsSemiMixedTypes="0" containsString="0" containsNumber="1" minValue="40.880000000000003" maxValue="85.16"/>
    </cacheField>
    <cacheField name="TO/POSSE" numFmtId="2">
      <sharedItems containsSemiMixedTypes="0" containsString="0" containsNumber="1" minValue="0.14543339150668994" maxValue="0.6686236138290933"/>
    </cacheField>
    <cacheField name="PTS/100" numFmtId="0">
      <sharedItems containsSemiMixedTypes="0" containsString="0" containsNumber="1" minValue="10.367298578199053" maxValue="67.84260515603799"/>
    </cacheField>
    <cacheField name="PACE" numFmtId="0">
      <sharedItems containsSemiMixedTypes="0" containsString="0" containsNumber="1" minValue="43.040000000000006" maxValue="84.960000000000008"/>
    </cacheField>
    <cacheField name="OFFRTG" numFmtId="0">
      <sharedItems containsSemiMixedTypes="0" containsString="0" containsNumber="1" minValue="10.367298578199053" maxValue="67.84260515603799"/>
    </cacheField>
    <cacheField name="DEFRTG" numFmtId="0">
      <sharedItems containsSemiMixedTypes="0" containsString="0" containsNumber="1" minValue="10.4" maxValue="67.8"/>
    </cacheField>
    <cacheField name="NETRTG" numFmtId="2">
      <sharedItems containsSemiMixedTypes="0" containsString="0" containsNumber="1" minValue="-43.186779184247541" maxValue="43.242605156037989"/>
    </cacheField>
  </cacheFields>
  <extLst>
    <ext xmlns:x14="http://schemas.microsoft.com/office/spreadsheetml/2009/9/main" uri="{725AE2AE-9491-48be-B2B4-4EB974FC3084}">
      <x14:pivotCacheDefinition pivotCacheId="182448144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x v="0"/>
    <n v="19"/>
    <n v="9"/>
    <n v="83"/>
    <n v="0.10843373493975904"/>
    <n v="8"/>
    <n v="73"/>
    <n v="110"/>
    <n v="1"/>
    <n v="10"/>
    <n v="100"/>
    <n v="0"/>
    <s v="6"/>
    <n v="0"/>
    <n v="46"/>
    <n v="35"/>
    <n v="11"/>
    <n v="0"/>
    <n v="28"/>
    <n v="21"/>
    <n v="71.64"/>
    <n v="0.29313232830820768"/>
    <n v="26.521496370742604"/>
    <n v="69.7"/>
    <n v="26.521496370742604"/>
    <n v="19.2"/>
    <n v="7.3214963707426044"/>
  </r>
  <r>
    <x v="1"/>
    <x v="1"/>
    <x v="1"/>
    <n v="13"/>
    <n v="6"/>
    <n v="36"/>
    <n v="0.16666666666666666"/>
    <n v="6"/>
    <n v="30"/>
    <n v="200"/>
    <n v="0"/>
    <n v="6"/>
    <n v="0"/>
    <n v="1"/>
    <s v="4"/>
    <n v="250"/>
    <n v="37"/>
    <n v="10"/>
    <n v="27"/>
    <n v="0"/>
    <n v="12"/>
    <n v="40"/>
    <n v="67.760000000000005"/>
    <n v="0.59031877213695394"/>
    <n v="19.185360094451003"/>
    <n v="69.7"/>
    <n v="19.185360094451003"/>
    <n v="26.5"/>
    <n v="-7.3146399055489972"/>
  </r>
  <r>
    <x v="2"/>
    <x v="0"/>
    <x v="0"/>
    <n v="29"/>
    <n v="14"/>
    <n v="57"/>
    <n v="0.24561403508771928"/>
    <n v="14"/>
    <n v="53"/>
    <n v="264"/>
    <n v="0"/>
    <n v="4"/>
    <n v="0"/>
    <n v="1"/>
    <s v="9"/>
    <n v="111"/>
    <n v="34"/>
    <n v="20"/>
    <n v="14"/>
    <n v="0"/>
    <n v="0"/>
    <n v="25"/>
    <n v="65.959999999999994"/>
    <n v="0.37901758641600974"/>
    <n v="43.966040024257133"/>
    <n v="68.08"/>
    <n v="43.966040024257133"/>
    <n v="18.5"/>
    <n v="25.466040024257133"/>
  </r>
  <r>
    <x v="1"/>
    <x v="2"/>
    <x v="2"/>
    <n v="13"/>
    <n v="6"/>
    <n v="37"/>
    <n v="0.16216216216216217"/>
    <n v="5"/>
    <n v="24"/>
    <n v="208"/>
    <n v="1"/>
    <n v="13"/>
    <n v="77"/>
    <n v="0"/>
    <s v="5"/>
    <n v="0"/>
    <n v="30"/>
    <n v="8"/>
    <n v="22"/>
    <n v="2"/>
    <n v="6"/>
    <n v="39"/>
    <n v="70.2"/>
    <n v="0.55555555555555558"/>
    <n v="18.518518518518519"/>
    <n v="68.08"/>
    <n v="18.518518518518519"/>
    <n v="44"/>
    <n v="-25.481481481481481"/>
  </r>
  <r>
    <x v="1"/>
    <x v="1"/>
    <x v="1"/>
    <n v="15"/>
    <n v="7"/>
    <n v="36"/>
    <n v="0.19444444444444445"/>
    <n v="7"/>
    <n v="25"/>
    <n v="280"/>
    <n v="0"/>
    <n v="11"/>
    <n v="0"/>
    <n v="1"/>
    <s v="5"/>
    <n v="200"/>
    <n v="18"/>
    <n v="4"/>
    <n v="14"/>
    <n v="5"/>
    <n v="9"/>
    <n v="22"/>
    <n v="56.2"/>
    <n v="0.39145907473309605"/>
    <n v="26.690391459074732"/>
    <n v="56.64"/>
    <n v="26.690391459074732"/>
    <n v="35"/>
    <n v="-8.309608540925268"/>
  </r>
  <r>
    <x v="0"/>
    <x v="0"/>
    <x v="0"/>
    <n v="20"/>
    <n v="9"/>
    <n v="53"/>
    <n v="0.16981132075471697"/>
    <n v="9"/>
    <n v="39"/>
    <n v="231"/>
    <n v="0"/>
    <n v="14"/>
    <n v="0"/>
    <n v="2"/>
    <s v="7"/>
    <n v="286"/>
    <n v="38"/>
    <n v="22"/>
    <n v="16"/>
    <n v="0"/>
    <n v="0"/>
    <n v="23"/>
    <n v="57.08"/>
    <n v="0.40294323756131745"/>
    <n v="35.038542396636302"/>
    <n v="56.64"/>
    <n v="35.038542396636302"/>
    <n v="26.7"/>
    <n v="8.3385423966363028"/>
  </r>
  <r>
    <x v="1"/>
    <x v="3"/>
    <x v="3"/>
    <n v="26"/>
    <n v="11"/>
    <n v="45"/>
    <n v="0.24444444444444444"/>
    <n v="9"/>
    <n v="35"/>
    <n v="257"/>
    <n v="2"/>
    <n v="10"/>
    <n v="200"/>
    <n v="2"/>
    <s v="14"/>
    <n v="143"/>
    <n v="39"/>
    <n v="12"/>
    <n v="27"/>
    <n v="6"/>
    <n v="20"/>
    <n v="46"/>
    <n v="85.16"/>
    <n v="0.54015969938938468"/>
    <n v="30.530765617660876"/>
    <n v="84.960000000000008"/>
    <n v="30.530765617660876"/>
    <n v="15.3"/>
    <n v="15.230765617660875"/>
  </r>
  <r>
    <x v="3"/>
    <x v="0"/>
    <x v="0"/>
    <n v="13"/>
    <n v="6"/>
    <n v="56"/>
    <n v="0.10714285714285714"/>
    <n v="6"/>
    <n v="40"/>
    <n v="150"/>
    <n v="0"/>
    <n v="16"/>
    <n v="0"/>
    <n v="1"/>
    <s v="4"/>
    <n v="250"/>
    <n v="27"/>
    <n v="11"/>
    <n v="16"/>
    <n v="0"/>
    <n v="24"/>
    <n v="38"/>
    <n v="84.76"/>
    <n v="0.44832468145351578"/>
    <n v="15.337423312883436"/>
    <n v="84.960000000000008"/>
    <n v="15.337423312883436"/>
    <n v="30.5"/>
    <n v="-15.162576687116564"/>
  </r>
  <r>
    <x v="1"/>
    <x v="4"/>
    <x v="3"/>
    <n v="15"/>
    <n v="7"/>
    <n v="28"/>
    <n v="0.25"/>
    <n v="6"/>
    <n v="24"/>
    <n v="250"/>
    <n v="1"/>
    <n v="4"/>
    <n v="250"/>
    <n v="0"/>
    <s v="5"/>
    <n v="0"/>
    <n v="32"/>
    <n v="5"/>
    <n v="27"/>
    <n v="4"/>
    <n v="6"/>
    <n v="43"/>
    <n v="68.2"/>
    <n v="0.63049853372434017"/>
    <n v="21.994134897360702"/>
    <n v="68.48"/>
    <n v="21.994134897360702"/>
    <n v="58.2"/>
    <n v="-36.205865102639301"/>
  </r>
  <r>
    <x v="4"/>
    <x v="0"/>
    <x v="0"/>
    <n v="40"/>
    <n v="19"/>
    <n v="83"/>
    <n v="0.2289156626506024"/>
    <n v="19"/>
    <n v="78"/>
    <n v="244"/>
    <n v="0"/>
    <n v="5"/>
    <n v="0"/>
    <n v="2"/>
    <s v="4"/>
    <n v="500"/>
    <n v="36"/>
    <n v="26"/>
    <n v="10"/>
    <n v="0"/>
    <n v="29"/>
    <n v="10"/>
    <n v="68.760000000000005"/>
    <n v="0.14543339150668994"/>
    <n v="58.173356602675973"/>
    <n v="68.48"/>
    <n v="58.173356602675973"/>
    <n v="22"/>
    <n v="36.173356602675973"/>
  </r>
  <r>
    <x v="5"/>
    <x v="0"/>
    <x v="0"/>
    <n v="28"/>
    <n v="12"/>
    <n v="50"/>
    <n v="0.24"/>
    <n v="12"/>
    <n v="46"/>
    <n v="261"/>
    <n v="0"/>
    <n v="4"/>
    <n v="0"/>
    <n v="4"/>
    <s v="7"/>
    <n v="571"/>
    <n v="29"/>
    <n v="15"/>
    <n v="14"/>
    <n v="0"/>
    <n v="18"/>
    <n v="32"/>
    <n v="70.08"/>
    <n v="0.45662100456621008"/>
    <n v="39.954337899543383"/>
    <n v="68.64"/>
    <n v="39.954337899543383"/>
    <n v="23.8"/>
    <n v="16.154337899543382"/>
  </r>
  <r>
    <x v="1"/>
    <x v="5"/>
    <x v="1"/>
    <n v="16"/>
    <n v="7"/>
    <n v="31"/>
    <n v="0.22580645161290322"/>
    <n v="6"/>
    <n v="20"/>
    <n v="300"/>
    <n v="1"/>
    <n v="11"/>
    <n v="91"/>
    <n v="1"/>
    <s v="5"/>
    <n v="200"/>
    <n v="25"/>
    <n v="10"/>
    <n v="15"/>
    <n v="4"/>
    <n v="22"/>
    <n v="44"/>
    <n v="67.2"/>
    <n v="0.65476190476190477"/>
    <n v="23.809523809523807"/>
    <n v="68.64"/>
    <n v="23.809523809523807"/>
    <n v="40"/>
    <n v="-16.190476190476193"/>
  </r>
  <r>
    <x v="6"/>
    <x v="0"/>
    <x v="0"/>
    <n v="40"/>
    <n v="17"/>
    <n v="54"/>
    <n v="0.31481481481481483"/>
    <n v="16"/>
    <n v="51"/>
    <n v="314"/>
    <n v="1"/>
    <n v="3"/>
    <n v="333"/>
    <n v="5"/>
    <s v="9"/>
    <n v="556"/>
    <n v="41"/>
    <n v="20"/>
    <n v="21"/>
    <n v="0"/>
    <n v="12"/>
    <n v="21"/>
    <n v="58.96"/>
    <n v="0.35617367706919945"/>
    <n v="67.84260515603799"/>
    <n v="57.92"/>
    <n v="67.84260515603799"/>
    <n v="24.6"/>
    <n v="43.242605156037989"/>
  </r>
  <r>
    <x v="1"/>
    <x v="6"/>
    <x v="2"/>
    <n v="14"/>
    <n v="5"/>
    <n v="51"/>
    <n v="9.8039215686274508E-2"/>
    <n v="3"/>
    <n v="35"/>
    <n v="86"/>
    <n v="2"/>
    <n v="16"/>
    <n v="125"/>
    <n v="2"/>
    <s v="2"/>
    <n v="1000"/>
    <n v="32"/>
    <n v="19"/>
    <n v="13"/>
    <n v="3"/>
    <n v="17"/>
    <n v="24"/>
    <n v="56.88"/>
    <n v="0.42194092827004215"/>
    <n v="24.613220815752459"/>
    <n v="57.92"/>
    <n v="24.613220815752459"/>
    <n v="67.8"/>
    <n v="-43.186779184247541"/>
  </r>
  <r>
    <x v="1"/>
    <x v="7"/>
    <x v="1"/>
    <n v="34"/>
    <n v="16"/>
    <n v="45"/>
    <n v="0.35555555555555557"/>
    <n v="16"/>
    <n v="41"/>
    <n v="390"/>
    <n v="0"/>
    <n v="4"/>
    <n v="0"/>
    <n v="2"/>
    <s v="8"/>
    <n v="250"/>
    <n v="24"/>
    <n v="13"/>
    <n v="11"/>
    <n v="8"/>
    <n v="32"/>
    <n v="28"/>
    <n v="63.52"/>
    <n v="0.44080604534005036"/>
    <n v="53.526448362720402"/>
    <n v="62.42"/>
    <n v="53.526448362720402"/>
    <n v="14.7"/>
    <n v="38.826448362720399"/>
  </r>
  <r>
    <x v="7"/>
    <x v="0"/>
    <x v="0"/>
    <n v="9"/>
    <n v="4"/>
    <n v="26"/>
    <n v="0.15384615384615385"/>
    <n v="4"/>
    <n v="24"/>
    <n v="167"/>
    <n v="0"/>
    <n v="2"/>
    <n v="0"/>
    <n v="1"/>
    <s v="3"/>
    <n v="333"/>
    <n v="17"/>
    <n v="7"/>
    <n v="10"/>
    <n v="0"/>
    <n v="10"/>
    <n v="41"/>
    <n v="61.32"/>
    <n v="0.6686236138290933"/>
    <n v="14.677103718199607"/>
    <n v="62.42"/>
    <n v="14.677103718199607"/>
    <n v="53.5"/>
    <n v="-38.822896281800396"/>
  </r>
  <r>
    <x v="1"/>
    <x v="8"/>
    <x v="1"/>
    <n v="7"/>
    <n v="3"/>
    <n v="29"/>
    <n v="0.10344827586206896"/>
    <n v="3"/>
    <n v="22"/>
    <n v="136"/>
    <n v="0"/>
    <n v="7"/>
    <n v="0"/>
    <n v="1"/>
    <s v="2"/>
    <n v="500"/>
    <n v="15"/>
    <n v="7"/>
    <n v="8"/>
    <n v="2"/>
    <n v="9"/>
    <n v="18"/>
    <n v="40.880000000000003"/>
    <n v="0.44031311154598823"/>
    <n v="17.123287671232877"/>
    <n v="43.040000000000006"/>
    <n v="17.123287671232877"/>
    <n v="48.7"/>
    <n v="-31.576712328767126"/>
  </r>
  <r>
    <x v="8"/>
    <x v="0"/>
    <x v="0"/>
    <n v="22"/>
    <n v="9"/>
    <n v="37"/>
    <n v="0.24324324324324326"/>
    <n v="8"/>
    <n v="27"/>
    <n v="296"/>
    <n v="1"/>
    <n v="10"/>
    <n v="100"/>
    <n v="3"/>
    <s v="5"/>
    <n v="600"/>
    <n v="28"/>
    <n v="13"/>
    <n v="15"/>
    <n v="0"/>
    <n v="7"/>
    <n v="19"/>
    <n v="45.2"/>
    <n v="0.42035398230088494"/>
    <n v="48.672566371681413"/>
    <n v="43.040000000000006"/>
    <n v="48.672566371681413"/>
    <n v="17.100000000000001"/>
    <n v="31.572566371681411"/>
  </r>
  <r>
    <x v="1"/>
    <x v="9"/>
    <x v="2"/>
    <n v="7"/>
    <n v="2"/>
    <n v="38"/>
    <n v="5.2631578947368418E-2"/>
    <n v="2"/>
    <n v="23"/>
    <n v="87"/>
    <n v="0"/>
    <n v="15"/>
    <n v="0"/>
    <n v="3"/>
    <s v="8"/>
    <n v="375"/>
    <n v="23"/>
    <n v="9"/>
    <n v="14"/>
    <n v="2"/>
    <n v="12"/>
    <n v="35"/>
    <n v="67.52"/>
    <n v="0.51836492890995267"/>
    <n v="10.367298578199053"/>
    <n v="67.900000000000006"/>
    <n v="10.367298578199053"/>
    <n v="42.5"/>
    <n v="-32.132701421800945"/>
  </r>
  <r>
    <x v="9"/>
    <x v="0"/>
    <x v="0"/>
    <n v="29"/>
    <n v="13"/>
    <n v="46"/>
    <n v="0.28260869565217389"/>
    <n v="13"/>
    <n v="41"/>
    <n v="317"/>
    <n v="0"/>
    <n v="5"/>
    <n v="0"/>
    <n v="3"/>
    <s v="12"/>
    <n v="250"/>
    <n v="36"/>
    <n v="16"/>
    <n v="20"/>
    <n v="0"/>
    <n v="17"/>
    <n v="33"/>
    <n v="68.28"/>
    <n v="0.48330404217926187"/>
    <n v="42.472173403632105"/>
    <n v="67.900000000000006"/>
    <n v="42.472173403632105"/>
    <n v="10.4"/>
    <n v="32.0721734036321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7010A4-DFB2-4421-A836-337A740C9F88}" name="Métrica de defesas enfrentadas" cacheId="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rowHeaderCaption="Teams" colHeaderCaption="Defesas enfrentadas">
  <location ref="L17:O19" firstHeaderRow="1" firstDataRow="2" firstDataCol="1"/>
  <pivotFields count="29">
    <pivotField axis="axisRow" showAll="0">
      <items count="11">
        <item h="1" x="5"/>
        <item h="1" x="0"/>
        <item h="1" x="6"/>
        <item h="1" x="2"/>
        <item x="1"/>
        <item h="1" x="8"/>
        <item h="1" x="3"/>
        <item h="1" x="4"/>
        <item h="1" x="9"/>
        <item h="1" x="7"/>
        <item t="default"/>
      </items>
    </pivotField>
    <pivotField dataField="1" showAll="0">
      <items count="11">
        <item x="5"/>
        <item x="1"/>
        <item x="6"/>
        <item x="2"/>
        <item x="0"/>
        <item x="8"/>
        <item x="3"/>
        <item x="4"/>
        <item x="9"/>
        <item x="7"/>
        <item t="default"/>
      </items>
    </pivotField>
    <pivotField axis="axisCol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numFmtId="2" showAll="0"/>
  </pivotFields>
  <rowFields count="1">
    <field x="0"/>
  </rowFields>
  <rowItems count="1">
    <i>
      <x v="4"/>
    </i>
  </rowItems>
  <colFields count="1">
    <field x="2"/>
  </colFields>
  <colItems count="3">
    <i>
      <x/>
    </i>
    <i>
      <x v="1"/>
    </i>
    <i>
      <x v="2"/>
    </i>
  </colItems>
  <dataFields count="1">
    <dataField name="Equip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45808-E67C-4E07-A9D8-4BA68B3CAB8D}" name="Métrica geral EAB" cacheId="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rowHeaderCaption="Teams">
  <location ref="L13:T14" firstHeaderRow="0" firstDataRow="1" firstDataCol="1"/>
  <pivotFields count="29">
    <pivotField axis="axisRow" showAll="0" sortType="descending">
      <items count="11">
        <item h="1" x="5"/>
        <item h="1" x="0"/>
        <item h="1" x="6"/>
        <item h="1" x="2"/>
        <item x="1"/>
        <item h="1" x="8"/>
        <item h="1" x="3"/>
        <item h="1" x="4"/>
        <item h="1" x="9"/>
        <item h="1"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numFmtId="2" showAll="0"/>
    <pivotField showAll="0"/>
    <pivotField dataField="1" showAll="0"/>
    <pivotField dataField="1" showAll="0"/>
    <pivotField dataField="1" showAll="0"/>
    <pivotField dataField="1" numFmtId="2" showAll="0"/>
  </pivotFields>
  <rowFields count="1">
    <field x="0"/>
  </rowFields>
  <rowItems count="1">
    <i>
      <x v="4"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Média de PTS" fld="3" subtotal="average" baseField="0" baseItem="0"/>
    <dataField name="Média de FG%" fld="6" subtotal="average" baseField="0" baseItem="0" numFmtId="9"/>
    <dataField name="Média de TO/POSSE" fld="23" subtotal="average" baseField="0" baseItem="0" numFmtId="2"/>
    <dataField name="Média de PACE" fld="25" subtotal="average" baseField="0" baseItem="0" numFmtId="2"/>
    <dataField name="Média de OFFRTG" fld="26" subtotal="average" baseField="0" baseItem="0" numFmtId="2"/>
    <dataField name="Média de DEFRTG" fld="27" subtotal="average" baseField="0" baseItem="0"/>
    <dataField name="Média de NETRTG" fld="28" subtotal="average" baseField="0" baseItem="0" numFmtId="2"/>
    <dataField name="Média de OR" fld="17" subtotal="average" baseField="0" baseItem="0"/>
  </dataFields>
  <formats count="3">
    <format dxfId="5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5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5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C3C4A6-E903-472B-A1EC-59CA3D952871}" name="Métricas vs individual" cacheId="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rowHeaderCaption="Teams">
  <location ref="L10:T12" firstHeaderRow="0" firstDataRow="1" firstDataCol="1"/>
  <pivotFields count="29">
    <pivotField axis="axisRow" showAll="0" sortType="descending">
      <items count="11">
        <item x="5"/>
        <item x="0"/>
        <item x="6"/>
        <item x="2"/>
        <item x="1"/>
        <item x="8"/>
        <item x="3"/>
        <item x="4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axis="axisRow" showAll="0">
      <items count="5">
        <item h="1" x="1"/>
        <item h="1" x="2"/>
        <item x="3"/>
        <item h="1" x="0"/>
        <item t="default"/>
      </items>
    </pivotField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numFmtId="2" showAll="0"/>
    <pivotField showAll="0"/>
    <pivotField dataField="1" showAll="0"/>
    <pivotField dataField="1" showAll="0"/>
    <pivotField dataField="1" showAll="0"/>
    <pivotField dataField="1" numFmtId="2" showAll="0"/>
  </pivotFields>
  <rowFields count="2">
    <field x="0"/>
    <field x="2"/>
  </rowFields>
  <rowItems count="2">
    <i>
      <x v="4"/>
    </i>
    <i r="1">
      <x v="2"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Média de PTS" fld="3" subtotal="average" baseField="0" baseItem="0"/>
    <dataField name="Média de FG%" fld="6" subtotal="average" baseField="0" baseItem="0" numFmtId="9"/>
    <dataField name="Média de TO/POSSE" fld="23" subtotal="average" baseField="0" baseItem="0" numFmtId="2"/>
    <dataField name="Média de PACE" fld="25" subtotal="average" baseField="0" baseItem="0" numFmtId="2"/>
    <dataField name="Média de OFFRTG" fld="26" subtotal="average" baseField="0" baseItem="0" numFmtId="2"/>
    <dataField name="Média de DEFRTG" fld="27" subtotal="average" baseField="0" baseItem="0"/>
    <dataField name="Média de NETRTG" fld="28" subtotal="average" baseField="0" baseItem="0" numFmtId="2"/>
    <dataField name="Média de OR" fld="17" subtotal="average" baseField="0" baseItem="0"/>
  </dataFields>
  <formats count="3">
    <format dxfId="5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8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5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E23CBF-AA36-4519-94B6-6F35B6CD967B}" name="Métricas vs 3-2" cacheId="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rowHeaderCaption="Teams">
  <location ref="L7:T9" firstHeaderRow="0" firstDataRow="1" firstDataCol="1"/>
  <pivotFields count="29">
    <pivotField axis="axisRow" showAll="0" sortType="descending">
      <items count="11">
        <item x="5"/>
        <item x="0"/>
        <item x="6"/>
        <item x="2"/>
        <item x="1"/>
        <item x="8"/>
        <item x="3"/>
        <item x="4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axis="axisRow" showAll="0">
      <items count="5">
        <item h="1" x="1"/>
        <item x="2"/>
        <item h="1" x="3"/>
        <item h="1" x="0"/>
        <item t="default"/>
      </items>
    </pivotField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numFmtId="2" showAll="0"/>
    <pivotField showAll="0"/>
    <pivotField dataField="1" showAll="0"/>
    <pivotField dataField="1" showAll="0"/>
    <pivotField dataField="1" showAll="0"/>
    <pivotField dataField="1" numFmtId="2" showAll="0"/>
  </pivotFields>
  <rowFields count="2">
    <field x="0"/>
    <field x="2"/>
  </rowFields>
  <rowItems count="2">
    <i>
      <x v="4"/>
    </i>
    <i r="1">
      <x v="1"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Média de PTS" fld="3" subtotal="average" baseField="0" baseItem="0" numFmtId="2"/>
    <dataField name="Média de FG%" fld="6" subtotal="average" baseField="0" baseItem="0" numFmtId="9"/>
    <dataField name="Média de TO/POSSE" fld="23" subtotal="average" baseField="0" baseItem="0" numFmtId="2"/>
    <dataField name="Média de PACE" fld="25" subtotal="average" baseField="0" baseItem="0" numFmtId="2"/>
    <dataField name="Média de OFFRTG" fld="26" subtotal="average" baseField="0" baseItem="0" numFmtId="2"/>
    <dataField name="Média de DEFRTG" fld="27" subtotal="average" baseField="0" baseItem="0" numFmtId="2"/>
    <dataField name="Média de NETRTG" fld="28" subtotal="average" baseField="0" baseItem="0" numFmtId="2"/>
    <dataField name="Média de OR" fld="17" subtotal="average" baseField="0" baseItem="0"/>
  </dataFields>
  <formats count="5">
    <format dxfId="2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2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7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EA27DB-DA3B-4064-AB01-04D4F4FDEB66}" name="Métricas vs 2-3" cacheId="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rowHeaderCaption="Teams">
  <location ref="L4:T6" firstHeaderRow="0" firstDataRow="1" firstDataCol="1"/>
  <pivotFields count="29">
    <pivotField axis="axisRow" showAll="0" sortType="descending">
      <items count="11">
        <item x="5"/>
        <item x="0"/>
        <item x="6"/>
        <item x="2"/>
        <item x="1"/>
        <item x="8"/>
        <item x="3"/>
        <item x="4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11">
        <item x="5"/>
        <item x="1"/>
        <item x="6"/>
        <item x="2"/>
        <item x="0"/>
        <item x="8"/>
        <item x="3"/>
        <item x="4"/>
        <item x="9"/>
        <item x="7"/>
        <item t="default"/>
      </items>
    </pivotField>
    <pivotField axis="axisRow" multipleItemSelectionAllowed="1" showAll="0">
      <items count="5">
        <item x="1"/>
        <item h="1" x="2"/>
        <item h="1" x="3"/>
        <item h="1" x="0"/>
        <item t="default"/>
      </items>
    </pivotField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numFmtId="2" showAll="0"/>
    <pivotField showAll="0"/>
    <pivotField dataField="1" showAll="0"/>
    <pivotField dataField="1" showAll="0"/>
    <pivotField dataField="1" showAll="0"/>
    <pivotField dataField="1" numFmtId="2" showAll="0"/>
  </pivotFields>
  <rowFields count="2">
    <field x="0"/>
    <field x="2"/>
  </rowFields>
  <rowItems count="2">
    <i>
      <x v="4"/>
    </i>
    <i r="1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Média de PTS" fld="3" subtotal="average" baseField="0" baseItem="0"/>
    <dataField name="Média de FG%" fld="6" subtotal="average" baseField="0" baseItem="0" numFmtId="9"/>
    <dataField name="Média de TO/POSSE" fld="23" subtotal="average" baseField="0" baseItem="0" numFmtId="2"/>
    <dataField name="Média de PACE" fld="25" subtotal="average" baseField="0" baseItem="0" numFmtId="2"/>
    <dataField name="Média de OFFRTG" fld="26" subtotal="average" baseField="0" baseItem="0" numFmtId="2"/>
    <dataField name="Média de DEFRTG" fld="27" subtotal="average" baseField="0" baseItem="0"/>
    <dataField name="Média de NETRTG" fld="28" subtotal="average" baseField="0" baseItem="0" numFmtId="2"/>
    <dataField name="Média de OR" fld="17" subtotal="average" baseField="0" baseItem="0"/>
  </dataFields>
  <formats count="3"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6AFBEB-66ED-4E0B-9877-D1D293023405}" name="Report_geral" cacheId="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rowHeaderCaption="Teams">
  <location ref="A3:I13" firstHeaderRow="0" firstDataRow="1" firstDataCol="1"/>
  <pivotFields count="29">
    <pivotField axis="axisRow" showAll="0" sortType="descending">
      <items count="11">
        <item x="5"/>
        <item x="0"/>
        <item x="6"/>
        <item x="2"/>
        <item x="1"/>
        <item x="8"/>
        <item x="3"/>
        <item x="4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dataField="1" showAll="0"/>
    <pivotField dataField="1" showAll="0"/>
    <pivotField dataField="1" showAll="0"/>
    <pivotField dataField="1" numFmtId="2" showAll="0"/>
  </pivotFields>
  <rowFields count="1">
    <field x="0"/>
  </rowFields>
  <rowItems count="10">
    <i>
      <x v="2"/>
    </i>
    <i>
      <x v="8"/>
    </i>
    <i>
      <x v="3"/>
    </i>
    <i>
      <x v="5"/>
    </i>
    <i>
      <x/>
    </i>
    <i>
      <x v="7"/>
    </i>
    <i>
      <x v="4"/>
    </i>
    <i>
      <x v="9"/>
    </i>
    <i>
      <x v="1"/>
    </i>
    <i>
      <x v="6"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Média de PTS" fld="3" subtotal="average" baseField="0" baseItem="0"/>
    <dataField name="Média de FG%" fld="6" subtotal="average" baseField="0" baseItem="0" numFmtId="9"/>
    <dataField name="Média de REB" fld="16" subtotal="average" baseField="0" baseItem="0"/>
    <dataField name="Média de TO/POSSE" fld="23" subtotal="average" baseField="0" baseItem="0" numFmtId="2"/>
    <dataField name="Média de PACE" fld="25" subtotal="average" baseField="0" baseItem="0" numFmtId="2"/>
    <dataField name="Média de OFFRTG" fld="26" subtotal="average" baseField="0" baseItem="0" numFmtId="2"/>
    <dataField name="Média de DEFRTG" fld="27" subtotal="average" baseField="0" baseItem="0"/>
    <dataField name="Média de NETRTG" fld="28" subtotal="average" baseField="0" baseItem="0" numFmtId="2"/>
  </dataFields>
  <formats count="3">
    <format dxfId="6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60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17" xr16:uid="{90ECD61D-72FB-4E07-AAEB-12782005673F}" autoFormatId="16" applyNumberFormats="0" applyBorderFormats="0" applyFontFormats="0" applyPatternFormats="0" applyAlignmentFormats="0" applyWidthHeightFormats="0">
  <queryTableRefresh nextId="32">
    <queryTableFields count="31">
      <queryTableField id="1" name="Team" tableColumnId="1"/>
      <queryTableField id="2" name="Player" tableColumnId="2"/>
      <queryTableField id="3" name="No." tableColumnId="3"/>
      <queryTableField id="4" name="GP" tableColumnId="4"/>
      <queryTableField id="5" name="MIN" tableColumnId="5"/>
      <queryTableField id="6" name="PTS" tableColumnId="6"/>
      <queryTableField id="7" name="PPG" tableColumnId="7"/>
      <queryTableField id="8" name="FG/FGA" tableColumnId="8"/>
      <queryTableField id="9" name="FG%" tableColumnId="9"/>
      <queryTableField id="10" name="2P/2PA" tableColumnId="10"/>
      <queryTableField id="11" name="2P%" tableColumnId="11"/>
      <queryTableField id="12" name="3P/3PA" tableColumnId="12"/>
      <queryTableField id="13" name="3P%" tableColumnId="13"/>
      <queryTableField id="14" name="FT/FTA" tableColumnId="14"/>
      <queryTableField id="15" name="FT%" tableColumnId="15"/>
      <queryTableField id="16" name="REB" tableColumnId="16"/>
      <queryTableField id="17" name="OR" tableColumnId="17"/>
      <queryTableField id="18" name="DR" tableColumnId="18"/>
      <queryTableField id="19" name="AST" tableColumnId="19"/>
      <queryTableField id="20" name="STL" tableColumnId="20"/>
      <queryTableField id="21" name="BLK" tableColumnId="21"/>
      <queryTableField id="22" name="BLKR" tableColumnId="22"/>
      <queryTableField id="23" name="DEF" tableColumnId="23"/>
      <queryTableField id="24" name="TO" tableColumnId="24"/>
      <queryTableField id="25" name="POT" tableColumnId="25"/>
      <queryTableField id="26" name="SCP" tableColumnId="26"/>
      <queryTableField id="27" name="EFF" tableColumnId="27"/>
      <queryTableField id="28" name="PIR" tableColumnId="28"/>
      <queryTableField id="29" name="+ / -" tableColumnId="29"/>
      <queryTableField id="30" name="PF" tableColumnId="30"/>
      <queryTableField id="31" name="PFR" tableColumnId="3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11" xr16:uid="{DBFC35DB-DBB0-4442-A3FE-C43E9B982D9E}" autoFormatId="16" applyNumberFormats="0" applyBorderFormats="0" applyFontFormats="0" applyPatternFormats="0" applyAlignmentFormats="0" applyWidthHeightFormats="0">
  <queryTableRefresh nextId="32">
    <queryTableFields count="31">
      <queryTableField id="1" name="Team" tableColumnId="1"/>
      <queryTableField id="2" name="Player" tableColumnId="2"/>
      <queryTableField id="3" name="No." tableColumnId="3"/>
      <queryTableField id="4" name="GP" tableColumnId="4"/>
      <queryTableField id="5" name="MIN" tableColumnId="5"/>
      <queryTableField id="6" name="PTS" tableColumnId="6"/>
      <queryTableField id="7" name="PPG" tableColumnId="7"/>
      <queryTableField id="8" name="FG/FGA" tableColumnId="8"/>
      <queryTableField id="9" name="FG%" tableColumnId="9"/>
      <queryTableField id="10" name="2P/2PA" tableColumnId="10"/>
      <queryTableField id="11" name="2P%" tableColumnId="11"/>
      <queryTableField id="12" name="3P/3PA" tableColumnId="12"/>
      <queryTableField id="13" name="3P%" tableColumnId="13"/>
      <queryTableField id="14" name="FT/FTA" tableColumnId="14"/>
      <queryTableField id="15" name="FT%" tableColumnId="15"/>
      <queryTableField id="16" name="REB" tableColumnId="16"/>
      <queryTableField id="17" name="OR" tableColumnId="17"/>
      <queryTableField id="18" name="DR" tableColumnId="18"/>
      <queryTableField id="19" name="AST" tableColumnId="19"/>
      <queryTableField id="20" name="STL" tableColumnId="20"/>
      <queryTableField id="21" name="BLK" tableColumnId="21"/>
      <queryTableField id="22" name="BLKR" tableColumnId="22"/>
      <queryTableField id="23" name="DEF" tableColumnId="23"/>
      <queryTableField id="24" name="TO" tableColumnId="24"/>
      <queryTableField id="25" name="POT" tableColumnId="25"/>
      <queryTableField id="26" name="SCP" tableColumnId="26"/>
      <queryTableField id="27" name="EFF" tableColumnId="27"/>
      <queryTableField id="28" name="PIR" tableColumnId="28"/>
      <queryTableField id="29" name="+ / -" tableColumnId="29"/>
      <queryTableField id="30" name="PF" tableColumnId="30"/>
      <queryTableField id="31" name="PFR" tableColumnId="3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8" xr16:uid="{F9C6DD01-D2E5-41B8-B08B-BFB0B7E363B4}" autoFormatId="16" applyNumberFormats="0" applyBorderFormats="0" applyFontFormats="0" applyPatternFormats="0" applyAlignmentFormats="0" applyWidthHeightFormats="0">
  <queryTableRefresh nextId="32">
    <queryTableFields count="31">
      <queryTableField id="1" name="Team" tableColumnId="1"/>
      <queryTableField id="2" name="Player" tableColumnId="2"/>
      <queryTableField id="3" name="No." tableColumnId="3"/>
      <queryTableField id="4" name="GP" tableColumnId="4"/>
      <queryTableField id="5" name="MIN" tableColumnId="5"/>
      <queryTableField id="6" name="PTS" tableColumnId="6"/>
      <queryTableField id="7" name="PPG" tableColumnId="7"/>
      <queryTableField id="8" name="FG/FGA" tableColumnId="8"/>
      <queryTableField id="9" name="FG%" tableColumnId="9"/>
      <queryTableField id="10" name="2P/2PA" tableColumnId="10"/>
      <queryTableField id="11" name="2P%" tableColumnId="11"/>
      <queryTableField id="12" name="3P/3PA" tableColumnId="12"/>
      <queryTableField id="13" name="3P%" tableColumnId="13"/>
      <queryTableField id="14" name="FT/FTA" tableColumnId="14"/>
      <queryTableField id="15" name="FT%" tableColumnId="15"/>
      <queryTableField id="16" name="REB" tableColumnId="16"/>
      <queryTableField id="17" name="OR" tableColumnId="17"/>
      <queryTableField id="18" name="DR" tableColumnId="18"/>
      <queryTableField id="19" name="AST" tableColumnId="19"/>
      <queryTableField id="20" name="STL" tableColumnId="20"/>
      <queryTableField id="21" name="BLK" tableColumnId="21"/>
      <queryTableField id="22" name="BLKR" tableColumnId="22"/>
      <queryTableField id="23" name="DEF" tableColumnId="23"/>
      <queryTableField id="24" name="TO" tableColumnId="24"/>
      <queryTableField id="25" name="POT" tableColumnId="25"/>
      <queryTableField id="26" name="SCP" tableColumnId="26"/>
      <queryTableField id="27" name="EFF" tableColumnId="27"/>
      <queryTableField id="28" name="PIR" tableColumnId="28"/>
      <queryTableField id="29" name="+ / -" tableColumnId="29"/>
      <queryTableField id="30" name="PF" tableColumnId="30"/>
      <queryTableField id="31" name="PFR" tableColumnId="3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5" xr16:uid="{313C3FF2-36D6-4389-8A66-C7A831BFCA13}" autoFormatId="16" applyNumberFormats="0" applyBorderFormats="0" applyFontFormats="0" applyPatternFormats="0" applyAlignmentFormats="0" applyWidthHeightFormats="0">
  <queryTableRefresh nextId="32">
    <queryTableFields count="31">
      <queryTableField id="1" name="Team" tableColumnId="1"/>
      <queryTableField id="2" name="Player" tableColumnId="2"/>
      <queryTableField id="3" name="No." tableColumnId="3"/>
      <queryTableField id="4" name="GP" tableColumnId="4"/>
      <queryTableField id="5" name="MIN" tableColumnId="5"/>
      <queryTableField id="6" name="PTS" tableColumnId="6"/>
      <queryTableField id="7" name="PPG" tableColumnId="7"/>
      <queryTableField id="8" name="FG/FGA" tableColumnId="8"/>
      <queryTableField id="9" name="FG%" tableColumnId="9"/>
      <queryTableField id="10" name="2P/2PA" tableColumnId="10"/>
      <queryTableField id="11" name="2P%" tableColumnId="11"/>
      <queryTableField id="12" name="3P/3PA" tableColumnId="12"/>
      <queryTableField id="13" name="3P%" tableColumnId="13"/>
      <queryTableField id="14" name="FT/FTA" tableColumnId="14"/>
      <queryTableField id="15" name="FT%" tableColumnId="15"/>
      <queryTableField id="16" name="REB" tableColumnId="16"/>
      <queryTableField id="17" name="OR" tableColumnId="17"/>
      <queryTableField id="18" name="DR" tableColumnId="18"/>
      <queryTableField id="19" name="AST" tableColumnId="19"/>
      <queryTableField id="20" name="STL" tableColumnId="20"/>
      <queryTableField id="21" name="BLK" tableColumnId="21"/>
      <queryTableField id="22" name="BLKR" tableColumnId="22"/>
      <queryTableField id="23" name="DEF" tableColumnId="23"/>
      <queryTableField id="24" name="TO" tableColumnId="24"/>
      <queryTableField id="25" name="POT" tableColumnId="25"/>
      <queryTableField id="26" name="SCP" tableColumnId="26"/>
      <queryTableField id="27" name="EFF" tableColumnId="27"/>
      <queryTableField id="28" name="PIR" tableColumnId="28"/>
      <queryTableField id="29" name="+ / -" tableColumnId="29"/>
      <queryTableField id="30" name="PF" tableColumnId="30"/>
      <queryTableField id="31" name="PF R" tableColumnId="3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2" xr16:uid="{815798A1-4093-4C54-94D0-8160C095B054}" autoFormatId="16" applyNumberFormats="0" applyBorderFormats="0" applyFontFormats="0" applyPatternFormats="0" applyAlignmentFormats="0" applyWidthHeightFormats="0">
  <queryTableRefresh nextId="32">
    <queryTableFields count="31">
      <queryTableField id="1" name="Team" tableColumnId="1"/>
      <queryTableField id="2" name="Player" tableColumnId="2"/>
      <queryTableField id="3" name="No." tableColumnId="3"/>
      <queryTableField id="4" name="GP" tableColumnId="4"/>
      <queryTableField id="5" name="MIN" tableColumnId="5"/>
      <queryTableField id="6" name="PTS" tableColumnId="6"/>
      <queryTableField id="7" name="PPG" tableColumnId="7"/>
      <queryTableField id="8" name="FG/FGA" tableColumnId="8"/>
      <queryTableField id="9" name="FG%" tableColumnId="9"/>
      <queryTableField id="10" name="2P/2PA" tableColumnId="10"/>
      <queryTableField id="11" name="2P%" tableColumnId="11"/>
      <queryTableField id="12" name="3P/3PA" tableColumnId="12"/>
      <queryTableField id="13" name="3P%" tableColumnId="13"/>
      <queryTableField id="14" name="FT/FTA" tableColumnId="14"/>
      <queryTableField id="15" name="FT%" tableColumnId="15"/>
      <queryTableField id="16" name="REB" tableColumnId="16"/>
      <queryTableField id="17" name="OR" tableColumnId="17"/>
      <queryTableField id="18" name="DR" tableColumnId="18"/>
      <queryTableField id="19" name="AST" tableColumnId="19"/>
      <queryTableField id="20" name="STL" tableColumnId="20"/>
      <queryTableField id="21" name="BLK" tableColumnId="21"/>
      <queryTableField id="22" name="BLKR" tableColumnId="22"/>
      <queryTableField id="23" name="DEF" tableColumnId="23"/>
      <queryTableField id="24" name="TO" tableColumnId="24"/>
      <queryTableField id="25" name="POT" tableColumnId="25"/>
      <queryTableField id="26" name="SCP" tableColumnId="26"/>
      <queryTableField id="27" name="EFF" tableColumnId="27"/>
      <queryTableField id="28" name="PIR" tableColumnId="28"/>
      <queryTableField id="29" name="+ / -" tableColumnId="29"/>
      <queryTableField id="30" name="PF" tableColumnId="30"/>
      <queryTableField id="31" name="PFR" tableColumnId="3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13" xr16:uid="{8C5C91AA-F647-482A-BB19-6548CE07A2B1}" autoFormatId="16" applyNumberFormats="0" applyBorderFormats="0" applyFontFormats="0" applyPatternFormats="0" applyAlignmentFormats="0" applyWidthHeightFormats="0">
  <queryTableRefresh nextId="33">
    <queryTableFields count="32">
      <queryTableField id="1" name="Team" tableColumnId="1"/>
      <queryTableField id="2" name="Player" tableColumnId="2"/>
      <queryTableField id="3" name="No." tableColumnId="3"/>
      <queryTableField id="4" name="GP" tableColumnId="4"/>
      <queryTableField id="5" name="MIN" tableColumnId="5"/>
      <queryTableField id="6" name="PTS" tableColumnId="6"/>
      <queryTableField id="7" name="PPG" tableColumnId="7"/>
      <queryTableField id="8" name="FG/FGA" tableColumnId="8"/>
      <queryTableField id="9" name="FG%" tableColumnId="9"/>
      <queryTableField id="10" name="2P/2PA" tableColumnId="10"/>
      <queryTableField id="11" name="2P%" tableColumnId="11"/>
      <queryTableField id="12" name="3P/3PA" tableColumnId="12"/>
      <queryTableField id="13" name="3P%" tableColumnId="13"/>
      <queryTableField id="14" name="FT/FTA" tableColumnId="14"/>
      <queryTableField id="15" name="FT%" tableColumnId="15"/>
      <queryTableField id="16" name="REB" tableColumnId="16"/>
      <queryTableField id="17" name="OR" tableColumnId="17"/>
      <queryTableField id="18" name="DR" tableColumnId="18"/>
      <queryTableField id="19" name="AST" tableColumnId="19"/>
      <queryTableField id="20" name="STL" tableColumnId="20"/>
      <queryTableField id="21" name="BLK" tableColumnId="21"/>
      <queryTableField id="22" name="BLKR" tableColumnId="22"/>
      <queryTableField id="23" name="DEF" tableColumnId="23"/>
      <queryTableField id="24" name="TO" tableColumnId="24"/>
      <queryTableField id="25" name="POT" tableColumnId="25"/>
      <queryTableField id="26" name="SCP" tableColumnId="26"/>
      <queryTableField id="27" name="EFF" tableColumnId="27"/>
      <queryTableField id="28" name="PIR" tableColumnId="28"/>
      <queryTableField id="29" name="+ / -" tableColumnId="29"/>
      <queryTableField id="30" name="PF" tableColumnId="30"/>
      <queryTableField id="31" name="PFR" tableColumnId="31"/>
      <queryTableField id="32" name="C_x000a_0" tableColumnId="3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9" xr16:uid="{62F0FEFE-FFD9-4256-B845-DA9B4235AE8A}" autoFormatId="16" applyNumberFormats="0" applyBorderFormats="0" applyFontFormats="0" applyPatternFormats="0" applyAlignmentFormats="0" applyWidthHeightFormats="0">
  <queryTableRefresh nextId="32">
    <queryTableFields count="31">
      <queryTableField id="1" name="Team" tableColumnId="1"/>
      <queryTableField id="2" name="Player" tableColumnId="2"/>
      <queryTableField id="3" name="No." tableColumnId="3"/>
      <queryTableField id="4" name="GP" tableColumnId="4"/>
      <queryTableField id="5" name="MIN" tableColumnId="5"/>
      <queryTableField id="6" name="PTS" tableColumnId="6"/>
      <queryTableField id="7" name="PPG" tableColumnId="7"/>
      <queryTableField id="8" name="FG/FGA" tableColumnId="8"/>
      <queryTableField id="9" name="FG%" tableColumnId="9"/>
      <queryTableField id="10" name="2P/2PA" tableColumnId="10"/>
      <queryTableField id="11" name="2P%" tableColumnId="11"/>
      <queryTableField id="12" name="3P/3PA" tableColumnId="12"/>
      <queryTableField id="13" name="3P%" tableColumnId="13"/>
      <queryTableField id="14" name="FT/FTA" tableColumnId="14"/>
      <queryTableField id="15" name="FT%" tableColumnId="15"/>
      <queryTableField id="16" name="REB" tableColumnId="16"/>
      <queryTableField id="17" name="OR" tableColumnId="17"/>
      <queryTableField id="18" name="DR" tableColumnId="18"/>
      <queryTableField id="19" name="AST" tableColumnId="19"/>
      <queryTableField id="20" name="STL" tableColumnId="20"/>
      <queryTableField id="21" name="BLK" tableColumnId="21"/>
      <queryTableField id="22" name="BLKR" tableColumnId="22"/>
      <queryTableField id="23" name="DEF" tableColumnId="23"/>
      <queryTableField id="24" name="TO" tableColumnId="24"/>
      <queryTableField id="25" name="POT" tableColumnId="25"/>
      <queryTableField id="26" name="SCP" tableColumnId="26"/>
      <queryTableField id="27" name="EFF" tableColumnId="27"/>
      <queryTableField id="28" name="PIR" tableColumnId="28"/>
      <queryTableField id="29" name="+ / -" tableColumnId="29"/>
      <queryTableField id="30" name="PF" tableColumnId="30"/>
      <queryTableField id="31" name="PFR" tableColumnId="3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6" xr16:uid="{FDE5B48C-8276-4A76-B002-19EE2C94A5D1}" autoFormatId="16" applyNumberFormats="0" applyBorderFormats="0" applyFontFormats="0" applyPatternFormats="0" applyAlignmentFormats="0" applyWidthHeightFormats="0">
  <queryTableRefresh nextId="32">
    <queryTableFields count="31">
      <queryTableField id="1" name="Team" tableColumnId="1"/>
      <queryTableField id="2" name="Player" tableColumnId="2"/>
      <queryTableField id="3" name="No." tableColumnId="3"/>
      <queryTableField id="4" name="GP" tableColumnId="4"/>
      <queryTableField id="5" name="MIN" tableColumnId="5"/>
      <queryTableField id="6" name="PTS" tableColumnId="6"/>
      <queryTableField id="7" name="PPG" tableColumnId="7"/>
      <queryTableField id="8" name="FG/FGA" tableColumnId="8"/>
      <queryTableField id="9" name="FG%" tableColumnId="9"/>
      <queryTableField id="10" name="2P/2PA" tableColumnId="10"/>
      <queryTableField id="11" name="2P%" tableColumnId="11"/>
      <queryTableField id="12" name="3P/3PA" tableColumnId="12"/>
      <queryTableField id="13" name="3P%" tableColumnId="13"/>
      <queryTableField id="14" name="FT/FTA" tableColumnId="14"/>
      <queryTableField id="15" name="FT%" tableColumnId="15"/>
      <queryTableField id="16" name="REB" tableColumnId="16"/>
      <queryTableField id="17" name="OR" tableColumnId="17"/>
      <queryTableField id="18" name="DR" tableColumnId="18"/>
      <queryTableField id="19" name="AST" tableColumnId="19"/>
      <queryTableField id="20" name="STL" tableColumnId="20"/>
      <queryTableField id="21" name="BLK" tableColumnId="21"/>
      <queryTableField id="22" name="BLKR" tableColumnId="22"/>
      <queryTableField id="23" name="DEF" tableColumnId="23"/>
      <queryTableField id="24" name="TO" tableColumnId="24"/>
      <queryTableField id="25" name="POT" tableColumnId="25"/>
      <queryTableField id="26" name="SCP" tableColumnId="26"/>
      <queryTableField id="27" name="EFF" tableColumnId="27"/>
      <queryTableField id="28" name="PIR" tableColumnId="28"/>
      <queryTableField id="29" name="+ / -" tableColumnId="29"/>
      <queryTableField id="30" name="PF" tableColumnId="30"/>
      <queryTableField id="31" name="PFR" tableColumnId="3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0" xr16:uid="{592842F1-EC3F-43B4-8478-A3506F2855B5}" autoFormatId="16" applyNumberFormats="0" applyBorderFormats="0" applyFontFormats="0" applyPatternFormats="0" applyAlignmentFormats="0" applyWidthHeightFormats="0">
  <queryTableRefresh nextId="62" unboundColumnsRight="7">
    <queryTableFields count="29">
      <queryTableField id="1" name="Team" tableColumnId="1"/>
      <queryTableField id="35" name="Opponent" tableColumnId="35"/>
      <queryTableField id="36" name="Defense" tableColumnId="36"/>
      <queryTableField id="6" name="PTS" tableColumnId="6"/>
      <queryTableField id="37" name="FG" tableColumnId="37"/>
      <queryTableField id="38" name="FGA" tableColumnId="38"/>
      <queryTableField id="9" name="FG%" tableColumnId="9"/>
      <queryTableField id="39" name="2P" tableColumnId="39"/>
      <queryTableField id="40" name="2PA" tableColumnId="40"/>
      <queryTableField id="11" name="2P%" tableColumnId="11"/>
      <queryTableField id="41" name="3P" tableColumnId="41"/>
      <queryTableField id="42" name="3PA" tableColumnId="42"/>
      <queryTableField id="13" name="3P%" tableColumnId="13"/>
      <queryTableField id="43" name="FT" tableColumnId="43"/>
      <queryTableField id="44" name="FTA" tableColumnId="44"/>
      <queryTableField id="15" name="FT%" tableColumnId="15"/>
      <queryTableField id="16" name="REB" tableColumnId="16"/>
      <queryTableField id="17" name="OR" tableColumnId="17"/>
      <queryTableField id="18" name="DR" tableColumnId="18"/>
      <queryTableField id="19" name="AST" tableColumnId="19"/>
      <queryTableField id="20" name="STL" tableColumnId="20"/>
      <queryTableField id="24" name="TO" tableColumnId="24"/>
      <queryTableField id="55" dataBound="0" tableColumnId="2"/>
      <queryTableField id="56" dataBound="0" tableColumnId="3"/>
      <queryTableField id="57" dataBound="0" tableColumnId="4"/>
      <queryTableField id="58" dataBound="0" tableColumnId="5"/>
      <queryTableField id="59" dataBound="0" tableColumnId="7"/>
      <queryTableField id="60" dataBound="0" tableColumnId="8"/>
      <queryTableField id="61" dataBound="0" tableColumnId="10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4" xr16:uid="{7AF8ECB2-BCB0-400D-8AA6-CBB5D918B9AC}" autoFormatId="16" applyNumberFormats="0" applyBorderFormats="0" applyFontFormats="0" applyPatternFormats="0" applyAlignmentFormats="0" applyWidthHeightFormats="0">
  <queryTableRefresh nextId="33">
    <queryTableFields count="32">
      <queryTableField id="1" name="Team" tableColumnId="1"/>
      <queryTableField id="2" name="Player" tableColumnId="2"/>
      <queryTableField id="3" name="No." tableColumnId="3"/>
      <queryTableField id="4" name="GP" tableColumnId="4"/>
      <queryTableField id="5" name="MIN" tableColumnId="5"/>
      <queryTableField id="6" name="PTS" tableColumnId="6"/>
      <queryTableField id="7" name="PPG" tableColumnId="7"/>
      <queryTableField id="8" name="FG/FGA" tableColumnId="8"/>
      <queryTableField id="9" name="FG%" tableColumnId="9"/>
      <queryTableField id="10" name="2P/2PA" tableColumnId="10"/>
      <queryTableField id="11" name="2P%" tableColumnId="11"/>
      <queryTableField id="12" name="3P/3PA" tableColumnId="12"/>
      <queryTableField id="13" name="3P%" tableColumnId="13"/>
      <queryTableField id="14" name="FT/FTA" tableColumnId="14"/>
      <queryTableField id="15" name="FT%" tableColumnId="15"/>
      <queryTableField id="16" name="REB" tableColumnId="16"/>
      <queryTableField id="17" name="OR" tableColumnId="17"/>
      <queryTableField id="18" name="DR" tableColumnId="18"/>
      <queryTableField id="19" name="AST" tableColumnId="19"/>
      <queryTableField id="20" name="STL" tableColumnId="20"/>
      <queryTableField id="21" name="BLK" tableColumnId="21"/>
      <queryTableField id="22" name="BLKR" tableColumnId="22"/>
      <queryTableField id="23" name="DEF" tableColumnId="23"/>
      <queryTableField id="24" name="TO" tableColumnId="24"/>
      <queryTableField id="25" name="POT" tableColumnId="25"/>
      <queryTableField id="26" name="SCP" tableColumnId="26"/>
      <queryTableField id="27" name="EFF" tableColumnId="27"/>
      <queryTableField id="28" name="PIR" tableColumnId="28"/>
      <queryTableField id="29" name="+ / -" tableColumnId="29"/>
      <queryTableField id="30" name="PF" tableColumnId="30"/>
      <queryTableField id="31" name="PFR" tableColumnId="31"/>
      <queryTableField id="32" name="C_x000a_0" tableColumnId="3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efense" xr10:uid="{85478899-A150-4690-89D6-BDAAFFD11FA8}" sourceName="Defense">
  <pivotTables>
    <pivotTable tabId="18" name="Métricas vs 3-2"/>
  </pivotTables>
  <data>
    <tabular pivotCacheId="1824481442">
      <items count="4">
        <i x="1"/>
        <i x="2" s="1"/>
        <i x="3"/>
        <i x="0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efense1" xr10:uid="{5A243386-975D-4093-A8D6-DCDC0E8B10C9}" sourceName="Defense">
  <pivotTables>
    <pivotTable tabId="18" name="Métricas vs individual"/>
  </pivotTables>
  <data>
    <tabular pivotCacheId="1824481442">
      <items count="4">
        <i x="1"/>
        <i x="2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fense" xr10:uid="{0D2213EE-2FD4-4E38-B7F1-20C6BF0342F7}" cache="SegmentaçãodeDados_Defense" caption="Defense" rowHeight="247650"/>
  <slicer name="Defense 1" xr10:uid="{4C9A86FA-A37D-43B0-8135-F6246CA09228}" cache="SegmentaçãodeDados_Defense1" caption="Defense" startItem="2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46F83F0-FA49-477E-8EDC-F6007829A436}" name="Vs_PASPOA_2" displayName="Vs_PASPOA_2" ref="A1:AE3" tableType="queryTable" totalsRowShown="0">
  <autoFilter ref="A1:AE3" xr:uid="{846F83F0-FA49-477E-8EDC-F6007829A436}"/>
  <tableColumns count="31">
    <tableColumn id="1" xr3:uid="{87022062-D33E-4A76-A1C8-FCCB0487991F}" uniqueName="1" name="Team" queryTableFieldId="1" dataDxfId="133"/>
    <tableColumn id="2" xr3:uid="{A2249E19-3DFF-47F5-AAF6-6C8A58A60CFF}" uniqueName="2" name="Player" queryTableFieldId="2" dataDxfId="132"/>
    <tableColumn id="3" xr3:uid="{37A06D74-F1E9-4247-B163-0F88FE708480}" uniqueName="3" name="No." queryTableFieldId="3" dataDxfId="131"/>
    <tableColumn id="4" xr3:uid="{B79D462A-FE0E-417C-840C-D6E5346F67C9}" uniqueName="4" name="GP" queryTableFieldId="4" dataDxfId="130"/>
    <tableColumn id="5" xr3:uid="{8EBDF7E2-C45C-48ED-81D5-BCBDC15D2D50}" uniqueName="5" name="MIN" queryTableFieldId="5" dataDxfId="129"/>
    <tableColumn id="6" xr3:uid="{EA3A8231-72DE-4C3F-A0B2-C578D000D724}" uniqueName="6" name="PTS" queryTableFieldId="6"/>
    <tableColumn id="7" xr3:uid="{758D08E5-2A79-461C-883F-4542E02E83E2}" uniqueName="7" name="PPG" queryTableFieldId="7"/>
    <tableColumn id="8" xr3:uid="{6A6E365E-D203-4008-A51A-E8CBC0A27A62}" uniqueName="8" name="FG/FGA" queryTableFieldId="8" dataDxfId="128"/>
    <tableColumn id="9" xr3:uid="{17287296-B972-44B6-9F81-2AEDD378D384}" uniqueName="9" name="FG%" queryTableFieldId="9"/>
    <tableColumn id="10" xr3:uid="{08152501-442E-436C-A260-2BF20BEBA345}" uniqueName="10" name="2P/2PA" queryTableFieldId="10" dataDxfId="127"/>
    <tableColumn id="11" xr3:uid="{39163E50-1F06-43F8-BC3A-309D27B81986}" uniqueName="11" name="2P%" queryTableFieldId="11"/>
    <tableColumn id="12" xr3:uid="{6FF0DA5E-AB12-4589-BEBC-8FDB13DA21F1}" uniqueName="12" name="3P/3PA" queryTableFieldId="12" dataDxfId="126"/>
    <tableColumn id="13" xr3:uid="{11264404-A4DA-426B-ADF5-9DF20BD93308}" uniqueName="13" name="3P%" queryTableFieldId="13"/>
    <tableColumn id="14" xr3:uid="{D22F558F-6AE7-45F1-BFF9-76B425668251}" uniqueName="14" name="FT/FTA" queryTableFieldId="14"/>
    <tableColumn id="15" xr3:uid="{712D3A14-1CE4-410C-815F-E8911235BBA5}" uniqueName="15" name="FT%" queryTableFieldId="15"/>
    <tableColumn id="16" xr3:uid="{2C8E2D9D-467F-42EC-8B21-49298D9E7B8B}" uniqueName="16" name="REB" queryTableFieldId="16"/>
    <tableColumn id="17" xr3:uid="{73AAB14D-53BC-4DA1-A7AC-4BE90E9ADE2B}" uniqueName="17" name="OR" queryTableFieldId="17"/>
    <tableColumn id="18" xr3:uid="{E87F7FA5-9380-4895-A53F-F7917F73403F}" uniqueName="18" name="DR" queryTableFieldId="18"/>
    <tableColumn id="19" xr3:uid="{FECA5113-A148-4E66-8D94-07DB3B352AC0}" uniqueName="19" name="AST" queryTableFieldId="19"/>
    <tableColumn id="20" xr3:uid="{A18A701B-2D90-42EE-9BD5-481BCA0E204A}" uniqueName="20" name="STL" queryTableFieldId="20"/>
    <tableColumn id="21" xr3:uid="{9B81462E-1C1E-4722-8B4C-8D4A2FC25F8B}" uniqueName="21" name="BLK" queryTableFieldId="21"/>
    <tableColumn id="22" xr3:uid="{9A960D61-FDC6-4C98-B908-2BFE219471BF}" uniqueName="22" name="BLKR" queryTableFieldId="22"/>
    <tableColumn id="23" xr3:uid="{5E39862B-3983-4620-BF70-D57913C77A76}" uniqueName="23" name="DEF" queryTableFieldId="23"/>
    <tableColumn id="24" xr3:uid="{546C59CD-F11F-4D8E-A96C-1D8418ABAF24}" uniqueName="24" name="TO" queryTableFieldId="24"/>
    <tableColumn id="25" xr3:uid="{39CD5A40-7C3B-44A4-B80B-6BDFE7228BDB}" uniqueName="25" name="POT" queryTableFieldId="25"/>
    <tableColumn id="26" xr3:uid="{BF308FFF-B909-4B59-84E2-A84CBB787CB7}" uniqueName="26" name="SCP" queryTableFieldId="26"/>
    <tableColumn id="27" xr3:uid="{C84667EC-9E0E-4AF2-99D9-37A3549FAA81}" uniqueName="27" name="EFF" queryTableFieldId="27"/>
    <tableColumn id="28" xr3:uid="{539B107C-6567-4767-B825-558D796880F8}" uniqueName="28" name="PIR" queryTableFieldId="28"/>
    <tableColumn id="29" xr3:uid="{F4BBFE3C-23E9-4197-9D2A-375BAE90CCD7}" uniqueName="29" name="+ / -" queryTableFieldId="29"/>
    <tableColumn id="30" xr3:uid="{C971CFCA-E219-452E-BA5B-55D93AD417BB}" uniqueName="30" name="PF" queryTableFieldId="30"/>
    <tableColumn id="31" xr3:uid="{18AF8B08-5445-4594-A454-D99459ADCFB4}" uniqueName="31" name="PFR" queryTableFieldId="3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F7741B9-6D29-417B-9CFB-3D276AD6B52B}" name="Vs_Chapel_2" displayName="Vs_Chapel_2" ref="A1:AE3" tableType="queryTable" totalsRowShown="0">
  <autoFilter ref="A1:AE3" xr:uid="{DF7741B9-6D29-417B-9CFB-3D276AD6B52B}"/>
  <tableColumns count="31">
    <tableColumn id="1" xr3:uid="{B6CBEC64-25B0-468A-9E2F-D632BF5C1EEE}" uniqueName="1" name="Team" queryTableFieldId="1" dataDxfId="125"/>
    <tableColumn id="2" xr3:uid="{92D9E5B6-9B75-43D3-9E78-C5EBDD76F036}" uniqueName="2" name="Player" queryTableFieldId="2" dataDxfId="124"/>
    <tableColumn id="3" xr3:uid="{019293C1-0B7F-4FD0-BA14-C436DA69CB76}" uniqueName="3" name="No." queryTableFieldId="3" dataDxfId="123"/>
    <tableColumn id="4" xr3:uid="{2A7CCB42-4536-4366-AECA-EDF7C9588F9A}" uniqueName="4" name="GP" queryTableFieldId="4" dataDxfId="122"/>
    <tableColumn id="5" xr3:uid="{2726846D-04EF-4A6E-ACE5-1089E7DC989D}" uniqueName="5" name="MIN" queryTableFieldId="5" dataDxfId="121"/>
    <tableColumn id="6" xr3:uid="{A4734BE3-E2C0-4B6D-AAD2-D1DF30C00A50}" uniqueName="6" name="PTS" queryTableFieldId="6"/>
    <tableColumn id="7" xr3:uid="{08DFB4A7-6E72-4275-9143-5175E9CDD3A8}" uniqueName="7" name="PPG" queryTableFieldId="7"/>
    <tableColumn id="8" xr3:uid="{761D3F54-297D-4E76-B047-813F99405832}" uniqueName="8" name="FG/FGA" queryTableFieldId="8" dataDxfId="120"/>
    <tableColumn id="9" xr3:uid="{6FCCABA2-D86A-423D-86C3-07FC1D2107F1}" uniqueName="9" name="FG%" queryTableFieldId="9"/>
    <tableColumn id="10" xr3:uid="{A5A31D95-E871-4462-8B84-AABBB72EC795}" uniqueName="10" name="2P/2PA" queryTableFieldId="10" dataDxfId="119"/>
    <tableColumn id="11" xr3:uid="{FFF8D845-EDC6-462A-BC17-4085483293EF}" uniqueName="11" name="2P%" queryTableFieldId="11"/>
    <tableColumn id="12" xr3:uid="{B54807A9-AEF1-45BF-B72D-011A46CDBFF8}" uniqueName="12" name="3P/3PA" queryTableFieldId="12" dataDxfId="118"/>
    <tableColumn id="13" xr3:uid="{1C139173-A4CE-4EA7-A10A-0DD9CD8F6190}" uniqueName="13" name="3P%" queryTableFieldId="13"/>
    <tableColumn id="14" xr3:uid="{35B6D0E6-CB20-4533-90AE-F30328900151}" uniqueName="14" name="FT/FTA" queryTableFieldId="14" dataDxfId="117"/>
    <tableColumn id="15" xr3:uid="{E8E5AE09-200A-4425-84F2-BABCF01EC2C6}" uniqueName="15" name="FT%" queryTableFieldId="15"/>
    <tableColumn id="16" xr3:uid="{49243B1A-779A-4ED9-A560-1E8C0E1831A9}" uniqueName="16" name="REB" queryTableFieldId="16"/>
    <tableColumn id="17" xr3:uid="{CBBD5D4A-8D0A-4EED-B48E-06E054F9C42E}" uniqueName="17" name="OR" queryTableFieldId="17"/>
    <tableColumn id="18" xr3:uid="{6010EBCE-6602-4FC7-9BF9-A569872EC7C8}" uniqueName="18" name="DR" queryTableFieldId="18"/>
    <tableColumn id="19" xr3:uid="{18C78556-CB6A-4B5C-8543-0CF6DE3DFE78}" uniqueName="19" name="AST" queryTableFieldId="19"/>
    <tableColumn id="20" xr3:uid="{49E3989A-82D8-40AA-9E43-E62CC4ADBFA9}" uniqueName="20" name="STL" queryTableFieldId="20"/>
    <tableColumn id="21" xr3:uid="{90E847B1-4BA8-46ED-AE43-9864DBD03E36}" uniqueName="21" name="BLK" queryTableFieldId="21"/>
    <tableColumn id="22" xr3:uid="{86E8289B-EFAF-40D9-B153-ED0663246DCB}" uniqueName="22" name="BLKR" queryTableFieldId="22"/>
    <tableColumn id="23" xr3:uid="{B6A48AA4-696A-4477-87DF-D2310B8AD2B5}" uniqueName="23" name="DEF" queryTableFieldId="23"/>
    <tableColumn id="24" xr3:uid="{C5F41FF1-E151-40C9-AABB-097F12B5269C}" uniqueName="24" name="TO" queryTableFieldId="24"/>
    <tableColumn id="25" xr3:uid="{943EC4AD-88D6-4FD5-9DB2-2098730BADE4}" uniqueName="25" name="POT" queryTableFieldId="25"/>
    <tableColumn id="26" xr3:uid="{6317C6ED-FD83-4C30-8AD6-170097F19710}" uniqueName="26" name="SCP" queryTableFieldId="26"/>
    <tableColumn id="27" xr3:uid="{7847368D-AC37-46AD-9CA3-5D55D8579A4F}" uniqueName="27" name="EFF" queryTableFieldId="27"/>
    <tableColumn id="28" xr3:uid="{D71D1B2C-77EF-47AA-BD77-94A6B7CA4C46}" uniqueName="28" name="PIR" queryTableFieldId="28"/>
    <tableColumn id="29" xr3:uid="{2F5016B9-EF55-4815-B056-F2743D068D86}" uniqueName="29" name="+ / -" queryTableFieldId="29"/>
    <tableColumn id="30" xr3:uid="{0D8F6244-5350-4FF3-9F6A-ADBBCC7C8E89}" uniqueName="30" name="PF" queryTableFieldId="30"/>
    <tableColumn id="31" xr3:uid="{1BAF4797-0EBA-4C9A-BCBA-364FCD333429}" uniqueName="31" name="PFR" queryTableFieldId="3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1A2F0D-98DD-40B9-BB19-B88F4E45FDEF}" name="Vs_British_2" displayName="Vs_British_2" ref="A1:AE3" tableType="queryTable" totalsRowShown="0">
  <autoFilter ref="A1:AE3" xr:uid="{841A2F0D-98DD-40B9-BB19-B88F4E45FDEF}"/>
  <tableColumns count="31">
    <tableColumn id="1" xr3:uid="{AF3F9052-17E3-4F4B-A4B0-A530D48054E1}" uniqueName="1" name="Team" queryTableFieldId="1" dataDxfId="116"/>
    <tableColumn id="2" xr3:uid="{F9507A0D-C4BD-43A2-A32D-E92F63EE1E8D}" uniqueName="2" name="Player" queryTableFieldId="2" dataDxfId="115"/>
    <tableColumn id="3" xr3:uid="{851A6F42-1971-4289-8CE7-B708A487D8F1}" uniqueName="3" name="No." queryTableFieldId="3" dataDxfId="114"/>
    <tableColumn id="4" xr3:uid="{000A1338-C844-4CB0-A623-3DFC48A99E47}" uniqueName="4" name="GP" queryTableFieldId="4" dataDxfId="113"/>
    <tableColumn id="5" xr3:uid="{2113B6A1-DE85-42F2-B228-84DE12313C4D}" uniqueName="5" name="MIN" queryTableFieldId="5" dataDxfId="112"/>
    <tableColumn id="6" xr3:uid="{198CE897-F6B1-4119-83B2-BA2FFE2715B5}" uniqueName="6" name="PTS" queryTableFieldId="6"/>
    <tableColumn id="7" xr3:uid="{90B4A754-A815-4E28-8079-A73199FC711A}" uniqueName="7" name="PPG" queryTableFieldId="7"/>
    <tableColumn id="8" xr3:uid="{6F506478-A261-4C0C-B0B6-ED2F8091CB2C}" uniqueName="8" name="FG/FGA" queryTableFieldId="8" dataDxfId="111"/>
    <tableColumn id="9" xr3:uid="{0EF65E5F-F50C-4CC6-801A-AF39679A4787}" uniqueName="9" name="FG%" queryTableFieldId="9"/>
    <tableColumn id="10" xr3:uid="{DAB97E66-C283-4352-8266-68458727DC1C}" uniqueName="10" name="2P/2PA" queryTableFieldId="10" dataDxfId="110"/>
    <tableColumn id="11" xr3:uid="{2F522364-5F01-4985-B2CF-3064D7EDAAA6}" uniqueName="11" name="2P%" queryTableFieldId="11"/>
    <tableColumn id="12" xr3:uid="{C3BC81BD-EBBA-439A-880D-21D9EA8742DB}" uniqueName="12" name="3P/3PA" queryTableFieldId="12" dataDxfId="109"/>
    <tableColumn id="13" xr3:uid="{46B9DBF4-D74D-4646-AFB0-4BC84E3ACA0D}" uniqueName="13" name="3P%" queryTableFieldId="13"/>
    <tableColumn id="14" xr3:uid="{3A768545-F115-4C79-9084-3FB04679FCF0}" uniqueName="14" name="FT/FTA" queryTableFieldId="14" dataDxfId="108"/>
    <tableColumn id="15" xr3:uid="{E8A39C00-4C2D-4C91-B226-F3A021A5B4C4}" uniqueName="15" name="FT%" queryTableFieldId="15"/>
    <tableColumn id="16" xr3:uid="{004D97B5-9E62-4A64-867D-00F413F3BA19}" uniqueName="16" name="REB" queryTableFieldId="16"/>
    <tableColumn id="17" xr3:uid="{9999BB98-30D5-4F29-87BB-292F8B4A12CE}" uniqueName="17" name="OR" queryTableFieldId="17"/>
    <tableColumn id="18" xr3:uid="{E16622FB-0B00-44E7-8E4E-3B9654F92F89}" uniqueName="18" name="DR" queryTableFieldId="18"/>
    <tableColumn id="19" xr3:uid="{EEA6CC36-BDF5-47D7-81B2-06EB64E379D3}" uniqueName="19" name="AST" queryTableFieldId="19"/>
    <tableColumn id="20" xr3:uid="{224DFE89-28A7-441B-A00C-7407BD6AF7BD}" uniqueName="20" name="STL" queryTableFieldId="20"/>
    <tableColumn id="21" xr3:uid="{E00D389D-7191-4283-900E-ED4104D2A956}" uniqueName="21" name="BLK" queryTableFieldId="21"/>
    <tableColumn id="22" xr3:uid="{D85864D1-1A5F-441C-9641-3F1442C5D194}" uniqueName="22" name="BLKR" queryTableFieldId="22"/>
    <tableColumn id="23" xr3:uid="{C9166306-F2D7-46CC-9CCC-22CC01AC1696}" uniqueName="23" name="DEF" queryTableFieldId="23"/>
    <tableColumn id="24" xr3:uid="{DD727480-B940-4406-95AD-87DBA867DF42}" uniqueName="24" name="TO" queryTableFieldId="24"/>
    <tableColumn id="25" xr3:uid="{BF9457A6-2CE4-4E3E-BFC0-A4AC871F2AA6}" uniqueName="25" name="POT" queryTableFieldId="25"/>
    <tableColumn id="26" xr3:uid="{0A0F33D9-2CDC-40DE-BC84-D38AB44439BC}" uniqueName="26" name="SCP" queryTableFieldId="26"/>
    <tableColumn id="27" xr3:uid="{16426FC5-CCE8-449B-BDB6-EEA8DC227443}" uniqueName="27" name="EFF" queryTableFieldId="27"/>
    <tableColumn id="28" xr3:uid="{65635EFC-3BD8-4E04-B62E-35CD3DB08B2A}" uniqueName="28" name="PIR" queryTableFieldId="28"/>
    <tableColumn id="29" xr3:uid="{562046C8-93A3-411E-A7D8-25999C16CFFE}" uniqueName="29" name="+ / -" queryTableFieldId="29"/>
    <tableColumn id="30" xr3:uid="{C959C00C-BBB1-45D8-8C97-2FEA50572B94}" uniqueName="30" name="PF" queryTableFieldId="30"/>
    <tableColumn id="31" xr3:uid="{7EC40EBD-71C8-4218-8520-336E87EEAB5C}" uniqueName="31" name="PFR" queryTableFieldId="3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0001D9-E131-4BD3-B0D5-73251936FE9E}" name="Vs_Graded_2" displayName="Vs_Graded_2" ref="A1:AE3" tableType="queryTable" totalsRowShown="0">
  <autoFilter ref="A1:AE3" xr:uid="{4F0001D9-E131-4BD3-B0D5-73251936FE9E}"/>
  <tableColumns count="31">
    <tableColumn id="1" xr3:uid="{395CC8C0-EC70-4F6B-B4C3-4EEAEE36E125}" uniqueName="1" name="Team" queryTableFieldId="1" dataDxfId="107"/>
    <tableColumn id="2" xr3:uid="{C6EF1170-6B33-4FF1-940D-3FBECEB64689}" uniqueName="2" name="Player" queryTableFieldId="2" dataDxfId="106"/>
    <tableColumn id="3" xr3:uid="{6A848076-F69B-443D-8FD4-03B8E76D5EB0}" uniqueName="3" name="No." queryTableFieldId="3" dataDxfId="105"/>
    <tableColumn id="4" xr3:uid="{85337EBE-1A0B-4B13-B9A4-9941DEC52BB2}" uniqueName="4" name="GP" queryTableFieldId="4" dataDxfId="104"/>
    <tableColumn id="5" xr3:uid="{D6DD9B99-9E4A-4A4B-B0A3-BE74E59CA894}" uniqueName="5" name="MIN" queryTableFieldId="5" dataDxfId="103"/>
    <tableColumn id="6" xr3:uid="{B9ACEBDE-971A-4793-A4F8-BF2F4678E57D}" uniqueName="6" name="PTS" queryTableFieldId="6"/>
    <tableColumn id="7" xr3:uid="{DFE7E2FC-2243-4B20-AFD8-B155495B07AC}" uniqueName="7" name="PPG" queryTableFieldId="7"/>
    <tableColumn id="8" xr3:uid="{DA2FB9B7-9C79-48D3-AC0C-A5F57BD98C69}" uniqueName="8" name="FG/FGA" queryTableFieldId="8" dataDxfId="102"/>
    <tableColumn id="9" xr3:uid="{CF53E1D8-4337-4C37-A763-A75E75390D45}" uniqueName="9" name="FG%" queryTableFieldId="9"/>
    <tableColumn id="10" xr3:uid="{0C7DC0B9-B349-41D0-92ED-24D95838D3B1}" uniqueName="10" name="2P/2PA" queryTableFieldId="10" dataDxfId="101"/>
    <tableColumn id="11" xr3:uid="{1E48E08F-E431-4A99-9470-7B0977C69747}" uniqueName="11" name="2P%" queryTableFieldId="11"/>
    <tableColumn id="12" xr3:uid="{7D4814D2-24D6-4330-AD00-F65F250A6006}" uniqueName="12" name="3P/3PA" queryTableFieldId="12" dataDxfId="100"/>
    <tableColumn id="13" xr3:uid="{FD3B83EF-30DD-42C9-8523-C4A63E9A2DED}" uniqueName="13" name="3P%" queryTableFieldId="13"/>
    <tableColumn id="14" xr3:uid="{14426605-5C35-448C-A78C-0220668CEBB3}" uniqueName="14" name="FT/FTA" queryTableFieldId="14" dataDxfId="99"/>
    <tableColumn id="15" xr3:uid="{8ADF3DC0-B3FC-4F5B-89FB-C65A9F6C0ED5}" uniqueName="15" name="FT%" queryTableFieldId="15"/>
    <tableColumn id="16" xr3:uid="{7D52FAD2-87F8-4A09-96FA-64D2F9CECB4D}" uniqueName="16" name="REB" queryTableFieldId="16"/>
    <tableColumn id="17" xr3:uid="{91065E62-892B-443A-9D16-E63EAC41E253}" uniqueName="17" name="OR" queryTableFieldId="17"/>
    <tableColumn id="18" xr3:uid="{6E48C9D5-95B8-4FDA-A049-ACC85BE89CC5}" uniqueName="18" name="DR" queryTableFieldId="18"/>
    <tableColumn id="19" xr3:uid="{2421D63E-DC42-4354-B2C3-3540E88E6422}" uniqueName="19" name="AST" queryTableFieldId="19"/>
    <tableColumn id="20" xr3:uid="{D108C036-4802-44D3-8A72-363570CE6237}" uniqueName="20" name="STL" queryTableFieldId="20"/>
    <tableColumn id="21" xr3:uid="{4D3E4DBE-6614-4F51-9291-18FE47059D16}" uniqueName="21" name="BLK" queryTableFieldId="21"/>
    <tableColumn id="22" xr3:uid="{EB35CA23-1577-43E1-BDA7-F657CB309A87}" uniqueName="22" name="BLKR" queryTableFieldId="22"/>
    <tableColumn id="23" xr3:uid="{47CDF92C-9167-46E5-B05D-55E9AC2D81E4}" uniqueName="23" name="DEF" queryTableFieldId="23"/>
    <tableColumn id="24" xr3:uid="{3C3CC287-2AEA-401E-BF9B-D59303BE7AB2}" uniqueName="24" name="TO" queryTableFieldId="24"/>
    <tableColumn id="25" xr3:uid="{C7DF2AC5-5052-45F4-8FE0-DC9103B7DDC2}" uniqueName="25" name="POT" queryTableFieldId="25"/>
    <tableColumn id="26" xr3:uid="{AB51B1C2-0678-425B-B54C-2F146890F100}" uniqueName="26" name="SCP" queryTableFieldId="26"/>
    <tableColumn id="27" xr3:uid="{70FC9002-B801-4037-9045-1087EF36100B}" uniqueName="27" name="EFF" queryTableFieldId="27"/>
    <tableColumn id="28" xr3:uid="{70DB1FB8-A778-4358-A2DA-C20D5473A780}" uniqueName="28" name="PIR" queryTableFieldId="28"/>
    <tableColumn id="29" xr3:uid="{7E9DFABC-A4EB-415B-90BF-26E0BA415384}" uniqueName="29" name="+ / -" queryTableFieldId="29"/>
    <tableColumn id="30" xr3:uid="{138AE0BA-FCA6-4D8F-A3DB-1F355ACC44FC}" uniqueName="30" name="PF" queryTableFieldId="30"/>
    <tableColumn id="31" xr3:uid="{AF805505-6CD9-4659-9F2F-250214352E4D}" uniqueName="31" name="PF R" queryTableFieldId="3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06B4F2-5D5C-4AA7-BB71-4B6608BB4DC3}" name="Vs_Colégio_Militar" displayName="Vs_Colégio_Militar" ref="A1:AE3" tableType="queryTable" totalsRowShown="0">
  <autoFilter ref="A1:AE3" xr:uid="{7306B4F2-5D5C-4AA7-BB71-4B6608BB4DC3}"/>
  <tableColumns count="31">
    <tableColumn id="1" xr3:uid="{72CB7BE5-67C7-46A7-A6A9-136104FC9B49}" uniqueName="1" name="Team" queryTableFieldId="1" dataDxfId="98"/>
    <tableColumn id="2" xr3:uid="{4C795673-48EF-4896-83B1-03F7A352933C}" uniqueName="2" name="Player" queryTableFieldId="2" dataDxfId="97"/>
    <tableColumn id="3" xr3:uid="{1CEAEA67-B02C-4760-8129-FF3925C86C0B}" uniqueName="3" name="No." queryTableFieldId="3" dataDxfId="96"/>
    <tableColumn id="4" xr3:uid="{EAD78F56-FADF-41B6-B334-4EF5C95874D7}" uniqueName="4" name="GP" queryTableFieldId="4" dataDxfId="95"/>
    <tableColumn id="5" xr3:uid="{C2F8DD45-8890-4FFA-8ED2-519047D78A23}" uniqueName="5" name="MIN" queryTableFieldId="5" dataDxfId="94"/>
    <tableColumn id="6" xr3:uid="{DD2A4D7B-F962-4578-9888-DD873EB7CC75}" uniqueName="6" name="PTS" queryTableFieldId="6"/>
    <tableColumn id="7" xr3:uid="{6382EB8F-B46D-4D0B-9055-36CA17BC4184}" uniqueName="7" name="PPG" queryTableFieldId="7"/>
    <tableColumn id="8" xr3:uid="{5146265E-8C97-4B50-AC56-873B72229822}" uniqueName="8" name="FG/FGA" queryTableFieldId="8" dataDxfId="93"/>
    <tableColumn id="9" xr3:uid="{D03F0F9B-E862-4AE0-9DA7-5739B46DF1A5}" uniqueName="9" name="FG%" queryTableFieldId="9"/>
    <tableColumn id="10" xr3:uid="{393705E0-E243-4CDA-B851-3141C175418E}" uniqueName="10" name="2P/2PA" queryTableFieldId="10" dataDxfId="92"/>
    <tableColumn id="11" xr3:uid="{7F6E6BBA-667B-4044-B413-8D9A4EB58FDD}" uniqueName="11" name="2P%" queryTableFieldId="11"/>
    <tableColumn id="12" xr3:uid="{FF706475-86B3-428B-88F3-AA96EC47B7C9}" uniqueName="12" name="3P/3PA" queryTableFieldId="12" dataDxfId="91"/>
    <tableColumn id="13" xr3:uid="{05AB35E5-8986-44CA-8F2D-B15BC8447539}" uniqueName="13" name="3P%" queryTableFieldId="13"/>
    <tableColumn id="14" xr3:uid="{B4A862DA-F761-4D27-8B49-4DCFB1F6C432}" uniqueName="14" name="FT/FTA" queryTableFieldId="14" dataDxfId="90"/>
    <tableColumn id="15" xr3:uid="{1CDCCB66-75C9-4DC3-967D-BC2477EC4B69}" uniqueName="15" name="FT%" queryTableFieldId="15"/>
    <tableColumn id="16" xr3:uid="{725EB2D9-9E0A-405A-9721-DA75CFB5BF0C}" uniqueName="16" name="REB" queryTableFieldId="16"/>
    <tableColumn id="17" xr3:uid="{C4BFAD59-E5D0-40F4-8488-F7D6268B9617}" uniqueName="17" name="OR" queryTableFieldId="17"/>
    <tableColumn id="18" xr3:uid="{76823D2B-D7B7-4780-A645-AEDF746C75D9}" uniqueName="18" name="DR" queryTableFieldId="18"/>
    <tableColumn id="19" xr3:uid="{7491D908-E4EF-418D-9613-F778348483BB}" uniqueName="19" name="AST" queryTableFieldId="19"/>
    <tableColumn id="20" xr3:uid="{51291274-4426-4867-A333-4DCEE04AE13C}" uniqueName="20" name="STL" queryTableFieldId="20"/>
    <tableColumn id="21" xr3:uid="{CFBC78C2-7FE5-4ACE-B52E-301F02565291}" uniqueName="21" name="BLK" queryTableFieldId="21"/>
    <tableColumn id="22" xr3:uid="{21B3F8C4-4ED3-46DF-9E75-C62E3DDD03CB}" uniqueName="22" name="BLKR" queryTableFieldId="22"/>
    <tableColumn id="23" xr3:uid="{874AB9DE-DA72-4E29-9FE5-96B29DD98543}" uniqueName="23" name="DEF" queryTableFieldId="23"/>
    <tableColumn id="24" xr3:uid="{64DD041A-A479-4734-94A5-2F22974E057E}" uniqueName="24" name="TO" queryTableFieldId="24"/>
    <tableColumn id="25" xr3:uid="{C289EFA3-DF28-4122-A78B-D339530062D6}" uniqueName="25" name="POT" queryTableFieldId="25"/>
    <tableColumn id="26" xr3:uid="{EEFA7628-3FE9-48E4-8E35-53F972C0C0E6}" uniqueName="26" name="SCP" queryTableFieldId="26"/>
    <tableColumn id="27" xr3:uid="{54982E29-6092-45AD-8AA6-AB7554F06096}" uniqueName="27" name="EFF" queryTableFieldId="27"/>
    <tableColumn id="28" xr3:uid="{5B4011AB-6194-4F34-8FAC-E76AD5976EE8}" uniqueName="28" name="PIR" queryTableFieldId="28"/>
    <tableColumn id="29" xr3:uid="{1C58126D-D6E1-4AA4-A9BC-370A46941E8C}" uniqueName="29" name="+ / -" queryTableFieldId="29"/>
    <tableColumn id="30" xr3:uid="{1F79FFCD-C957-4322-B3BC-394716D7D6E9}" uniqueName="30" name="PF" queryTableFieldId="30"/>
    <tableColumn id="31" xr3:uid="{BE3B23B7-BB85-4179-A1E0-CA672BC3A634}" uniqueName="31" name="PFR" queryTableFieldId="3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CA32568-6AEE-4698-96D1-BD93F8E46CA9}" name="Vs_EAC" displayName="Vs_EAC" ref="A1:AF3" tableType="queryTable" totalsRowShown="0">
  <autoFilter ref="A1:AF3" xr:uid="{ECA32568-6AEE-4698-96D1-BD93F8E46CA9}"/>
  <tableColumns count="32">
    <tableColumn id="1" xr3:uid="{2929543B-ACB8-4B3F-8426-16749BC96A9C}" uniqueName="1" name="Team" queryTableFieldId="1" dataDxfId="89"/>
    <tableColumn id="2" xr3:uid="{F9CE53DF-D769-4EEC-BC07-4011A1860FAE}" uniqueName="2" name="Player" queryTableFieldId="2" dataDxfId="88"/>
    <tableColumn id="3" xr3:uid="{FCF03509-24E2-4CA0-A9B7-B65CCA791D06}" uniqueName="3" name="No." queryTableFieldId="3" dataDxfId="87"/>
    <tableColumn id="4" xr3:uid="{7448491D-1730-47F5-9E8B-C3DD83D791FD}" uniqueName="4" name="GP" queryTableFieldId="4" dataDxfId="86"/>
    <tableColumn id="5" xr3:uid="{CF3F49DC-3E3C-4F7D-BADA-8121D38D3510}" uniqueName="5" name="MIN" queryTableFieldId="5" dataDxfId="85"/>
    <tableColumn id="6" xr3:uid="{7B25297F-5CD0-486A-9D74-A81DFE37B95F}" uniqueName="6" name="PTS" queryTableFieldId="6"/>
    <tableColumn id="7" xr3:uid="{51E11313-7428-478E-8256-C5172E38521C}" uniqueName="7" name="PPG" queryTableFieldId="7"/>
    <tableColumn id="8" xr3:uid="{B9F2D0D0-4C0D-4F7C-BBA2-28D5AE65499A}" uniqueName="8" name="FG/FGA" queryTableFieldId="8" dataDxfId="84"/>
    <tableColumn id="9" xr3:uid="{77BA28D0-64D1-481F-8960-7EF4DB11B7FF}" uniqueName="9" name="FG%" queryTableFieldId="9"/>
    <tableColumn id="10" xr3:uid="{6FAC1368-5EB2-43FD-AA22-BBA04C5CFA4E}" uniqueName="10" name="2P/2PA" queryTableFieldId="10" dataDxfId="83"/>
    <tableColumn id="11" xr3:uid="{7A386707-1B01-4FCA-839D-C9BD905A08EA}" uniqueName="11" name="2P%" queryTableFieldId="11"/>
    <tableColumn id="12" xr3:uid="{915C2645-C0D7-4343-90E6-629D45B1A3E5}" uniqueName="12" name="3P/3PA" queryTableFieldId="12" dataDxfId="82"/>
    <tableColumn id="13" xr3:uid="{72C9D765-55C5-484B-9A2D-5CC7A7626F28}" uniqueName="13" name="3P%" queryTableFieldId="13"/>
    <tableColumn id="14" xr3:uid="{BC739DF7-1F89-42C6-A8CB-691873BAA4A2}" uniqueName="14" name="FT/FTA" queryTableFieldId="14" dataDxfId="81"/>
    <tableColumn id="15" xr3:uid="{855C81C1-111F-4233-9DAE-E9F0DD51A297}" uniqueName="15" name="FT%" queryTableFieldId="15"/>
    <tableColumn id="16" xr3:uid="{4FF9C0F9-57AD-4B32-9417-909FF1B6ACDB}" uniqueName="16" name="REB" queryTableFieldId="16"/>
    <tableColumn id="17" xr3:uid="{FDCED201-0963-4194-8995-1A218DF6C911}" uniqueName="17" name="OR" queryTableFieldId="17"/>
    <tableColumn id="18" xr3:uid="{D829DD6C-4D2C-4CFF-B244-D5E2FD787B91}" uniqueName="18" name="DR" queryTableFieldId="18"/>
    <tableColumn id="19" xr3:uid="{5CD6A136-0810-42D4-80F1-6B588605F5B2}" uniqueName="19" name="AST" queryTableFieldId="19"/>
    <tableColumn id="20" xr3:uid="{4DAE052C-81C4-4CC9-93E3-DE5103920D70}" uniqueName="20" name="STL" queryTableFieldId="20"/>
    <tableColumn id="21" xr3:uid="{109A70D2-0B05-4691-B9A9-3AB630C8C18F}" uniqueName="21" name="BLK" queryTableFieldId="21"/>
    <tableColumn id="22" xr3:uid="{6D3B0D06-B053-4188-B883-665E7E38D517}" uniqueName="22" name="BLKR" queryTableFieldId="22"/>
    <tableColumn id="23" xr3:uid="{EE403855-2DAA-4F36-8E4E-753177217A4E}" uniqueName="23" name="DEF" queryTableFieldId="23"/>
    <tableColumn id="24" xr3:uid="{C36DC411-360E-49F8-8B31-13BB0A0E8C9D}" uniqueName="24" name="TO" queryTableFieldId="24"/>
    <tableColumn id="25" xr3:uid="{7DC2B372-9184-4A42-ADC2-A35F50B73E5E}" uniqueName="25" name="POT" queryTableFieldId="25"/>
    <tableColumn id="26" xr3:uid="{5514B481-978A-46DD-B49E-398D9DAF625D}" uniqueName="26" name="SCP" queryTableFieldId="26"/>
    <tableColumn id="27" xr3:uid="{90B761B1-D678-431B-B92C-1B86F82DDC1A}" uniqueName="27" name="EFF" queryTableFieldId="27"/>
    <tableColumn id="28" xr3:uid="{059A0FD0-A405-4071-BC23-B21AD0FF8DA3}" uniqueName="28" name="PIR" queryTableFieldId="28"/>
    <tableColumn id="29" xr3:uid="{FB95FB5C-D238-45EB-B7CF-AB30DCF5B362}" uniqueName="29" name="+ / -" queryTableFieldId="29"/>
    <tableColumn id="30" xr3:uid="{6C89A8C3-414A-4C17-89E3-020333EE639B}" uniqueName="30" name="PF" queryTableFieldId="30"/>
    <tableColumn id="31" xr3:uid="{4C1BBA31-CE4E-475D-9CB8-C503DE7DE7A7}" uniqueName="31" name="PFR" queryTableFieldId="31"/>
    <tableColumn id="32" xr3:uid="{F813A04D-D718-45AF-BE47-0788875108CA}" uniqueName="32" name="C_x000a_0" queryTableFieldId="3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D9659C-B743-4BF8-A39B-9BD7558EAE47}" name="Vs_Cesta_de_ouro_1" displayName="Vs_Cesta_de_ouro_1" ref="A1:AE3" tableType="queryTable" totalsRowShown="0">
  <autoFilter ref="A1:AE3" xr:uid="{FED9659C-B743-4BF8-A39B-9BD7558EAE47}"/>
  <tableColumns count="31">
    <tableColumn id="1" xr3:uid="{6228512E-6538-4A4C-B26B-7C6F67DCE5F3}" uniqueName="1" name="Team" queryTableFieldId="1" dataDxfId="80"/>
    <tableColumn id="2" xr3:uid="{8171D976-90F2-4904-A0ED-71C0B424E76B}" uniqueName="2" name="Player" queryTableFieldId="2" dataDxfId="79"/>
    <tableColumn id="3" xr3:uid="{21886F2B-4AE8-487C-B479-786A7036BED3}" uniqueName="3" name="No." queryTableFieldId="3" dataDxfId="78"/>
    <tableColumn id="4" xr3:uid="{A6C4B705-677F-425B-BAA5-1CDEB59FC43D}" uniqueName="4" name="GP" queryTableFieldId="4" dataDxfId="77"/>
    <tableColumn id="5" xr3:uid="{3083A61C-24F5-43AA-972B-8CF4A7FC5E6D}" uniqueName="5" name="MIN" queryTableFieldId="5" dataDxfId="76"/>
    <tableColumn id="6" xr3:uid="{DDE73671-0BE4-47F2-8754-4A27C9F5DB5E}" uniqueName="6" name="PTS" queryTableFieldId="6"/>
    <tableColumn id="7" xr3:uid="{324C6358-0222-4A4C-A704-2CB10E4C395C}" uniqueName="7" name="PPG" queryTableFieldId="7"/>
    <tableColumn id="8" xr3:uid="{13EA39E3-F65B-4C5C-AE5F-0DADBEAE4425}" uniqueName="8" name="FG/FGA" queryTableFieldId="8" dataDxfId="75"/>
    <tableColumn id="9" xr3:uid="{2C77A972-3E4C-43C9-8C6A-8402D7779A63}" uniqueName="9" name="FG%" queryTableFieldId="9"/>
    <tableColumn id="10" xr3:uid="{1563DFC8-D23E-49C0-B1DE-890FF064B8D4}" uniqueName="10" name="2P/2PA" queryTableFieldId="10" dataDxfId="74"/>
    <tableColumn id="11" xr3:uid="{C2D396B2-9581-4E32-9361-A58E4188FF02}" uniqueName="11" name="2P%" queryTableFieldId="11"/>
    <tableColumn id="12" xr3:uid="{0A605976-E489-42FE-B814-A740E735AFF4}" uniqueName="12" name="3P/3PA" queryTableFieldId="12" dataDxfId="73"/>
    <tableColumn id="13" xr3:uid="{60E8E561-3434-479E-9F13-93CF2F9AEE9C}" uniqueName="13" name="3P%" queryTableFieldId="13"/>
    <tableColumn id="14" xr3:uid="{B2C75B4D-3A9B-4276-8001-989D206F2F30}" uniqueName="14" name="FT/FTA" queryTableFieldId="14" dataDxfId="72"/>
    <tableColumn id="15" xr3:uid="{AB51A04E-45A7-487C-9071-A99A70A36FA9}" uniqueName="15" name="FT%" queryTableFieldId="15"/>
    <tableColumn id="16" xr3:uid="{3761EDFE-7B4B-4EB8-8D9E-EB82C88388D3}" uniqueName="16" name="REB" queryTableFieldId="16"/>
    <tableColumn id="17" xr3:uid="{9376FDCD-8241-454C-883A-F3B6381A4F23}" uniqueName="17" name="OR" queryTableFieldId="17"/>
    <tableColumn id="18" xr3:uid="{73DB63F7-7ED4-4E64-B4EE-DC2ADD24A976}" uniqueName="18" name="DR" queryTableFieldId="18"/>
    <tableColumn id="19" xr3:uid="{98AABDD4-19A4-4AF8-9C51-552C9A9C082C}" uniqueName="19" name="AST" queryTableFieldId="19"/>
    <tableColumn id="20" xr3:uid="{FDF774F4-00FC-4D1F-8AA8-903262EB8EEA}" uniqueName="20" name="STL" queryTableFieldId="20"/>
    <tableColumn id="21" xr3:uid="{528C4CA6-F05A-4513-9909-0851281A38F7}" uniqueName="21" name="BLK" queryTableFieldId="21"/>
    <tableColumn id="22" xr3:uid="{87B75F01-E05C-4553-A7A1-D0134CB7BE8C}" uniqueName="22" name="BLKR" queryTableFieldId="22"/>
    <tableColumn id="23" xr3:uid="{23460A41-5011-4E24-8486-20D3331D8EAD}" uniqueName="23" name="DEF" queryTableFieldId="23"/>
    <tableColumn id="24" xr3:uid="{DA152F42-A4A9-4570-89C9-5637F31A7353}" uniqueName="24" name="TO" queryTableFieldId="24"/>
    <tableColumn id="25" xr3:uid="{3FCFDDF3-F3AC-4E1B-B0BD-02D3B77B71E0}" uniqueName="25" name="POT" queryTableFieldId="25"/>
    <tableColumn id="26" xr3:uid="{EB0C6C4C-444C-4F1B-9539-541CDCC55EC5}" uniqueName="26" name="SCP" queryTableFieldId="26"/>
    <tableColumn id="27" xr3:uid="{A67E395F-09B7-4720-8C69-02F5E2DEE368}" uniqueName="27" name="EFF" queryTableFieldId="27"/>
    <tableColumn id="28" xr3:uid="{EB70D496-1D33-4FC7-815A-B01F750501CF}" uniqueName="28" name="PIR" queryTableFieldId="28"/>
    <tableColumn id="29" xr3:uid="{17A1EAD7-95CA-4306-94E0-40826A97DB95}" uniqueName="29" name="+ / -" queryTableFieldId="29"/>
    <tableColumn id="30" xr3:uid="{6B362D9F-8134-4816-91A7-B2EC1839AF8B}" uniqueName="30" name="PF" queryTableFieldId="30"/>
    <tableColumn id="31" xr3:uid="{4C94715B-E598-497B-9B1A-BD297E31DB4F}" uniqueName="31" name="PFR" queryTableFieldId="3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72813A-EEB0-4679-BA54-13D43FC469A6}" name="Vs_Insana_UnB" displayName="Vs_Insana_UnB" ref="A1:AE3" tableType="queryTable" totalsRowShown="0">
  <autoFilter ref="A1:AE3" xr:uid="{8972813A-EEB0-4679-BA54-13D43FC469A6}"/>
  <tableColumns count="31">
    <tableColumn id="1" xr3:uid="{CEAAA211-50D3-476B-8548-76D3C68D97CE}" uniqueName="1" name="Team" queryTableFieldId="1" dataDxfId="71"/>
    <tableColumn id="2" xr3:uid="{70A6D9AF-EEF5-44CA-B0B7-940DC0631057}" uniqueName="2" name="Player" queryTableFieldId="2" dataDxfId="70"/>
    <tableColumn id="3" xr3:uid="{2C72E1D1-C2C2-4ED6-A433-2C74F652528A}" uniqueName="3" name="No." queryTableFieldId="3" dataDxfId="69"/>
    <tableColumn id="4" xr3:uid="{E8506426-98F7-4CB4-BC2A-0FD758CC9271}" uniqueName="4" name="GP" queryTableFieldId="4" dataDxfId="68"/>
    <tableColumn id="5" xr3:uid="{287CB87A-528E-4DEE-8734-F4FB68A55C02}" uniqueName="5" name="MIN" queryTableFieldId="5" dataDxfId="67"/>
    <tableColumn id="6" xr3:uid="{18CEF6A8-FDD8-4630-95B3-B17E4470694D}" uniqueName="6" name="PTS" queryTableFieldId="6"/>
    <tableColumn id="7" xr3:uid="{AC08CF36-8D7B-435F-8BF5-6CD26EC6D61B}" uniqueName="7" name="PPG" queryTableFieldId="7"/>
    <tableColumn id="8" xr3:uid="{87FF86C0-9B54-4959-BFFB-AEA05E54F07D}" uniqueName="8" name="FG/FGA" queryTableFieldId="8" dataDxfId="66"/>
    <tableColumn id="9" xr3:uid="{935A5C79-0DB3-408A-9DCF-2762CFFC721D}" uniqueName="9" name="FG%" queryTableFieldId="9"/>
    <tableColumn id="10" xr3:uid="{B5F3DB40-7884-4727-AB5D-1AEA98FC44BB}" uniqueName="10" name="2P/2PA" queryTableFieldId="10" dataDxfId="65"/>
    <tableColumn id="11" xr3:uid="{9ABE7DF7-2682-410A-A7B1-9B24B606FE95}" uniqueName="11" name="2P%" queryTableFieldId="11"/>
    <tableColumn id="12" xr3:uid="{737AB2C1-C6B5-4C2E-8FE2-E686CBA2E92B}" uniqueName="12" name="3P/3PA" queryTableFieldId="12" dataDxfId="64"/>
    <tableColumn id="13" xr3:uid="{F983A449-61E9-47B5-BA7C-A5209BD323B0}" uniqueName="13" name="3P%" queryTableFieldId="13"/>
    <tableColumn id="14" xr3:uid="{4AF7ACBB-1D94-4AEF-85FE-30C8C800BF3C}" uniqueName="14" name="FT/FTA" queryTableFieldId="14" dataDxfId="63"/>
    <tableColumn id="15" xr3:uid="{FEDE198F-7A94-4B40-B09F-41381F913ACE}" uniqueName="15" name="FT%" queryTableFieldId="15"/>
    <tableColumn id="16" xr3:uid="{8A3F49B6-6919-4A81-92DC-4729F7DF469B}" uniqueName="16" name="REB" queryTableFieldId="16"/>
    <tableColumn id="17" xr3:uid="{22234FAA-F6B3-420F-832C-ACABA7A009AD}" uniqueName="17" name="OR" queryTableFieldId="17"/>
    <tableColumn id="18" xr3:uid="{313E9932-77BF-4709-9B43-8DF5C1C3259E}" uniqueName="18" name="DR" queryTableFieldId="18"/>
    <tableColumn id="19" xr3:uid="{E094FAEE-0126-47A9-8D64-A9D8E42BD83F}" uniqueName="19" name="AST" queryTableFieldId="19"/>
    <tableColumn id="20" xr3:uid="{E1412CFE-7439-47F9-804C-C73BB936ACEE}" uniqueName="20" name="STL" queryTableFieldId="20"/>
    <tableColumn id="21" xr3:uid="{353976E4-A8C7-47A7-8719-ABFB4DE396CD}" uniqueName="21" name="BLK" queryTableFieldId="21"/>
    <tableColumn id="22" xr3:uid="{BE4CEADA-79B4-4BCA-9F4D-27B3EC93ABDB}" uniqueName="22" name="BLKR" queryTableFieldId="22"/>
    <tableColumn id="23" xr3:uid="{40BEC2FD-EC0D-4074-A3B7-C583EDCE96A6}" uniqueName="23" name="DEF" queryTableFieldId="23"/>
    <tableColumn id="24" xr3:uid="{8CB963C5-BA4A-4136-B365-E0CEAEBBD8B2}" uniqueName="24" name="TO" queryTableFieldId="24"/>
    <tableColumn id="25" xr3:uid="{7CF4CB24-2CB6-40F0-9D73-84C6AFFC1A7B}" uniqueName="25" name="POT" queryTableFieldId="25"/>
    <tableColumn id="26" xr3:uid="{93A169F7-1810-4378-A3A1-DA741104A89E}" uniqueName="26" name="SCP" queryTableFieldId="26"/>
    <tableColumn id="27" xr3:uid="{78867913-E7B0-4D2A-855B-A7E0C2D1898F}" uniqueName="27" name="EFF" queryTableFieldId="27"/>
    <tableColumn id="28" xr3:uid="{503D1D6E-287D-430E-9024-EF4BED06D664}" uniqueName="28" name="PIR" queryTableFieldId="28"/>
    <tableColumn id="29" xr3:uid="{B04CC3D4-DCF4-4735-9421-FBF1B0424DFF}" uniqueName="29" name="+ / -" queryTableFieldId="29"/>
    <tableColumn id="30" xr3:uid="{31EA7145-EAC3-4267-A189-2EACA402FF70}" uniqueName="30" name="PF" queryTableFieldId="30"/>
    <tableColumn id="31" xr3:uid="{FB6B86F2-11D5-4942-A815-874E5177EC2F}" uniqueName="31" name="PFR" queryTableFieldId="31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50CB8A7-0782-4B3D-95A4-2CA6B249A9AD}" name="Classificações_métricas_times" displayName="Classificações_métricas_times" ref="A16:J26" totalsRowShown="0" headerRowDxfId="53">
  <autoFilter ref="A16:J26" xr:uid="{D50CB8A7-0782-4B3D-95A4-2CA6B249A9AD}"/>
  <sortState xmlns:xlrd2="http://schemas.microsoft.com/office/spreadsheetml/2017/richdata2" ref="A17:J26">
    <sortCondition ref="J16:J26"/>
  </sortState>
  <tableColumns count="10">
    <tableColumn id="1" xr3:uid="{4E99FAD5-4713-44E8-85D4-CE5639FC55D7}" name="Teams" dataDxfId="52"/>
    <tableColumn id="2" xr3:uid="{8CFE06C3-0D7B-4F98-9BE9-92B78A96CEC0}" name="Class PTS"/>
    <tableColumn id="3" xr3:uid="{7D6F2F72-04A5-401A-B88D-C8493CD551CD}" name="Class FG%"/>
    <tableColumn id="4" xr3:uid="{421EF2DF-5DEF-4978-981E-2463E930E6D4}" name="Class REB"/>
    <tableColumn id="5" xr3:uid="{A24152AF-A20D-4307-8410-1A1A042AEE82}" name="Class TO/POSSE"/>
    <tableColumn id="6" xr3:uid="{2DA6E356-7BDF-468E-B182-F9353DC871E2}" name="Class PACE"/>
    <tableColumn id="7" xr3:uid="{D2571DA9-AF9A-4D8A-8E2E-F0DC043BA39B}" name="Class OFFRTG"/>
    <tableColumn id="8" xr3:uid="{F57BF659-5315-49EF-9352-29F283F36DAA}" name="Class DEFRTG"/>
    <tableColumn id="9" xr3:uid="{672D22B4-4FAF-4659-BA65-C127459FB512}" name="Class NETRTG"/>
    <tableColumn id="10" xr3:uid="{5E500E5D-1FAA-46B6-AFBE-64D7EA75B68C}" name="TOTAL">
      <calculatedColumnFormula>SUM(B17:I17)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8D1704F-22FA-427B-9F7D-715E1AB3902F}" name="Vs_Cesta_de_ouro_2" displayName="Vs_Cesta_de_ouro_2" ref="A1:AC21" tableType="queryTable" totalsRowShown="0">
  <autoFilter ref="A1:AC21" xr:uid="{68D1704F-22FA-427B-9F7D-715E1AB3902F}"/>
  <tableColumns count="29">
    <tableColumn id="1" xr3:uid="{04FA205C-E5BE-4F03-AFA8-43CD61191A62}" uniqueName="1" name="Team" queryTableFieldId="1" dataDxfId="51"/>
    <tableColumn id="35" xr3:uid="{CA075AC4-4971-485A-BEB8-714DF6E4B71D}" uniqueName="35" name="Opponent" queryTableFieldId="35" dataDxfId="50"/>
    <tableColumn id="36" xr3:uid="{F314C521-6661-4BE8-8911-966D526FA272}" uniqueName="36" name="Defense" queryTableFieldId="36" dataDxfId="49"/>
    <tableColumn id="6" xr3:uid="{59E41E9C-3AF5-4610-BD03-2BF5708CF79D}" uniqueName="6" name="PTS" queryTableFieldId="6"/>
    <tableColumn id="37" xr3:uid="{1409C2E6-320E-40BB-9B40-932FEADCAB13}" uniqueName="37" name="FG" queryTableFieldId="37"/>
    <tableColumn id="38" xr3:uid="{CC24079B-AF3F-44C1-B3A9-4D1CDA477416}" uniqueName="38" name="FGA" queryTableFieldId="38"/>
    <tableColumn id="9" xr3:uid="{2847445F-7A33-444C-B68C-0E15E17EA586}" uniqueName="9" name="FG%" queryTableFieldId="9" dataCellStyle="Porcentagem"/>
    <tableColumn id="39" xr3:uid="{18039235-809B-4E5D-A303-E9EC3FD2D979}" uniqueName="39" name="2P" queryTableFieldId="39"/>
    <tableColumn id="40" xr3:uid="{D9510A98-77AE-4380-92CE-30BCE3774E8B}" uniqueName="40" name="2PA" queryTableFieldId="40"/>
    <tableColumn id="11" xr3:uid="{3E0B5CEB-4487-42A0-BD6F-3666D5CE0666}" uniqueName="11" name="2P%" queryTableFieldId="11"/>
    <tableColumn id="41" xr3:uid="{55C81407-1C49-494B-8A6E-A545B4219276}" uniqueName="41" name="3P" queryTableFieldId="41"/>
    <tableColumn id="42" xr3:uid="{A2110153-E45F-4F2F-8423-A7317D07165B}" uniqueName="42" name="3PA" queryTableFieldId="42"/>
    <tableColumn id="13" xr3:uid="{97897FDE-2B64-4390-B95C-5D206F18E8A8}" uniqueName="13" name="3P%" queryTableFieldId="13"/>
    <tableColumn id="43" xr3:uid="{834B2082-6AE0-4164-8B43-20ADA9959F17}" uniqueName="43" name="FT" queryTableFieldId="43"/>
    <tableColumn id="44" xr3:uid="{5EC58299-58BE-433F-BF4D-301B1C085C3D}" uniqueName="44" name="FTA" queryTableFieldId="44" dataDxfId="48"/>
    <tableColumn id="15" xr3:uid="{86BBCC48-A0C4-4A71-B17D-1AE8C68317F8}" uniqueName="15" name="FT%" queryTableFieldId="15" dataCellStyle="Porcentagem"/>
    <tableColumn id="16" xr3:uid="{EBA3976F-79A0-4733-8132-4B84A828DEDB}" uniqueName="16" name="REB" queryTableFieldId="16"/>
    <tableColumn id="17" xr3:uid="{EB88815E-A25F-4FFE-92E7-AAF8207B5A42}" uniqueName="17" name="OR" queryTableFieldId="17"/>
    <tableColumn id="18" xr3:uid="{AE6CC963-ACFA-42D7-923C-1A501ECC20B2}" uniqueName="18" name="DR" queryTableFieldId="18"/>
    <tableColumn id="19" xr3:uid="{EBA11F12-9163-47FF-BBF9-9B780B381806}" uniqueName="19" name="AST" queryTableFieldId="19"/>
    <tableColumn id="20" xr3:uid="{4D3BE862-DA38-4183-8BDD-EC48892EC328}" uniqueName="20" name="STL" queryTableFieldId="20"/>
    <tableColumn id="24" xr3:uid="{06C06E2D-50C6-4CC7-AB4B-56E731821EB3}" uniqueName="24" name="TO" queryTableFieldId="24"/>
    <tableColumn id="2" xr3:uid="{2F176A20-A797-4EFA-A953-C4AC29B92DE4}" uniqueName="2" name="POSSE" queryTableFieldId="55">
      <calculatedColumnFormula>Vs_Cesta_de_ouro_2[[#This Row],[FGA]]+Vs_Cesta_de_ouro_2[[#This Row],[TO]]-Vs_Cesta_de_ouro_2[[#This Row],[OR]]+(0.44*Vs_Cesta_de_ouro_2[[#This Row],[FTA]])</calculatedColumnFormula>
    </tableColumn>
    <tableColumn id="3" xr3:uid="{55770D11-6D5F-494D-9F6E-C3BEDEA02420}" uniqueName="3" name="TO/POSSE" queryTableFieldId="56" dataDxfId="47">
      <calculatedColumnFormula>Vs_Cesta_de_ouro_2[[#This Row],[TO]]/Vs_Cesta_de_ouro_2[[#This Row],[POSSE]]</calculatedColumnFormula>
    </tableColumn>
    <tableColumn id="4" xr3:uid="{88FF68FA-FBF0-4742-B9B5-88D6A31D480C}" uniqueName="4" name="PTS/100" queryTableFieldId="57">
      <calculatedColumnFormula>(Vs_Cesta_de_ouro_2[[#This Row],[PTS]]/Vs_Cesta_de_ouro_2[[#This Row],[POSSE]])*100</calculatedColumnFormula>
    </tableColumn>
    <tableColumn id="5" xr3:uid="{13237932-78E5-48F1-A745-45ED19AD8D0A}" uniqueName="5" name="PACE" queryTableFieldId="58"/>
    <tableColumn id="7" xr3:uid="{96462DB6-F79E-4EF5-90D5-01DF98E4FC7A}" uniqueName="7" name="OFFRTG" queryTableFieldId="59">
      <calculatedColumnFormula>Vs_Cesta_de_ouro_2[[#This Row],[PTS/100]]</calculatedColumnFormula>
    </tableColumn>
    <tableColumn id="8" xr3:uid="{0DAB8BA1-9374-4ED8-86BA-2C89DAC07E74}" uniqueName="8" name="DEFRTG" queryTableFieldId="60"/>
    <tableColumn id="10" xr3:uid="{DA271E58-579B-4FF6-87C2-AEF34D3715FC}" uniqueName="10" name="NETRTG" queryTableFieldId="61" dataDxfId="46">
      <calculatedColumnFormula>Vs_Cesta_de_ouro_2[[#This Row],[OFFRTG]]-Vs_Cesta_de_ouro_2[[#This Row],[DEFRTG]]</calculatedColumnFormula>
    </tableColumn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9D7C48-C773-4401-AF52-26AE2973ECE1}" name="Vs_EAR_2" displayName="Vs_EAR_2" ref="A1:AF3" tableType="queryTable" totalsRowShown="0">
  <autoFilter ref="A1:AF3" xr:uid="{B49D7C48-C773-4401-AF52-26AE2973ECE1}"/>
  <tableColumns count="32">
    <tableColumn id="1" xr3:uid="{6DFBBACB-0C94-4C8A-9504-C0D4CB407235}" uniqueName="1" name="Team" queryTableFieldId="1" dataDxfId="45"/>
    <tableColumn id="2" xr3:uid="{FB55494C-E9EA-4E94-9980-8BAFFFBCEE11}" uniqueName="2" name="Player" queryTableFieldId="2" dataDxfId="44"/>
    <tableColumn id="3" xr3:uid="{053EE5D4-165C-4817-9458-9091A4395AAB}" uniqueName="3" name="No." queryTableFieldId="3" dataDxfId="43"/>
    <tableColumn id="4" xr3:uid="{998A3759-244C-4476-A1F9-83E23BF7FCD9}" uniqueName="4" name="GP" queryTableFieldId="4" dataDxfId="42"/>
    <tableColumn id="5" xr3:uid="{1D7383C0-6185-4A02-814C-47BCD6A5A5E6}" uniqueName="5" name="MIN" queryTableFieldId="5" dataDxfId="41"/>
    <tableColumn id="6" xr3:uid="{44E5FBFF-ABEF-40F0-A722-9C9E9BE03FE0}" uniqueName="6" name="PTS" queryTableFieldId="6"/>
    <tableColumn id="7" xr3:uid="{6D17B61D-A55D-42A6-91C2-339E7578BE28}" uniqueName="7" name="PPG" queryTableFieldId="7"/>
    <tableColumn id="8" xr3:uid="{93151743-DD68-4A28-AA32-773C39F706B0}" uniqueName="8" name="FG/FGA" queryTableFieldId="8" dataDxfId="40"/>
    <tableColumn id="9" xr3:uid="{3737BDA7-8A89-46CA-AE12-FD3E8EB9BD7D}" uniqueName="9" name="FG%" queryTableFieldId="9"/>
    <tableColumn id="10" xr3:uid="{5B2B4135-7957-46F2-8402-1935C28BFC89}" uniqueName="10" name="2P/2PA" queryTableFieldId="10" dataDxfId="39"/>
    <tableColumn id="11" xr3:uid="{BBBF9E11-A08F-4ED6-9C56-3A9B88D66404}" uniqueName="11" name="2P%" queryTableFieldId="11"/>
    <tableColumn id="12" xr3:uid="{6C947A81-0ADD-4AB6-BB37-380F88C5A220}" uniqueName="12" name="3P/3PA" queryTableFieldId="12" dataDxfId="38"/>
    <tableColumn id="13" xr3:uid="{03955862-7D5D-4DAA-BE65-906D9D7F1721}" uniqueName="13" name="3P%" queryTableFieldId="13"/>
    <tableColumn id="14" xr3:uid="{57BEAB9A-008E-4D49-B15D-A2C10D4B194F}" uniqueName="14" name="FT/FTA" queryTableFieldId="14" dataDxfId="37"/>
    <tableColumn id="15" xr3:uid="{F239A74E-4815-4F9A-88CD-DA05A953B17E}" uniqueName="15" name="FT%" queryTableFieldId="15"/>
    <tableColumn id="16" xr3:uid="{1008E1D3-E269-47B2-A3E7-8DC878EDFD68}" uniqueName="16" name="REB" queryTableFieldId="16"/>
    <tableColumn id="17" xr3:uid="{E3531120-6823-440A-BF60-06FC8B36337A}" uniqueName="17" name="OR" queryTableFieldId="17"/>
    <tableColumn id="18" xr3:uid="{5FD7BE8A-6FC2-4155-A33C-E9FD811F6D59}" uniqueName="18" name="DR" queryTableFieldId="18"/>
    <tableColumn id="19" xr3:uid="{B1361927-67FE-469D-9601-63F9144D4EC6}" uniqueName="19" name="AST" queryTableFieldId="19"/>
    <tableColumn id="20" xr3:uid="{66EB8E7C-68A4-46D8-A7A8-8E16EAB1E663}" uniqueName="20" name="STL" queryTableFieldId="20"/>
    <tableColumn id="21" xr3:uid="{5D2AC69C-4F66-4D17-AE7B-9298364876AD}" uniqueName="21" name="BLK" queryTableFieldId="21"/>
    <tableColumn id="22" xr3:uid="{15012BAB-FA04-437F-8B17-FB773C924022}" uniqueName="22" name="BLKR" queryTableFieldId="22"/>
    <tableColumn id="23" xr3:uid="{9266539F-2513-482C-9126-426D5461B5B6}" uniqueName="23" name="DEF" queryTableFieldId="23"/>
    <tableColumn id="24" xr3:uid="{F1E9B21F-9362-49D3-86EB-4E7D334E37B1}" uniqueName="24" name="TO" queryTableFieldId="24"/>
    <tableColumn id="25" xr3:uid="{CA7B5319-6D1C-41BC-91A4-A7E6B8749138}" uniqueName="25" name="POT" queryTableFieldId="25"/>
    <tableColumn id="26" xr3:uid="{814FCDC7-8E8D-49DB-A5E1-867A58669906}" uniqueName="26" name="SCP" queryTableFieldId="26"/>
    <tableColumn id="27" xr3:uid="{E5440133-4374-4038-A88D-F87E347FE5A7}" uniqueName="27" name="EFF" queryTableFieldId="27"/>
    <tableColumn id="28" xr3:uid="{B10133E3-637C-4D23-9A66-A044D17C092B}" uniqueName="28" name="PIR" queryTableFieldId="28"/>
    <tableColumn id="29" xr3:uid="{EDC7E41F-3BC8-40C8-A3E5-F0AF4DF025A5}" uniqueName="29" name="+ / -" queryTableFieldId="29"/>
    <tableColumn id="30" xr3:uid="{419ED39E-309B-4C00-B27E-7650D4A1B5B3}" uniqueName="30" name="PF" queryTableFieldId="30"/>
    <tableColumn id="31" xr3:uid="{FF641923-5A87-41E5-8C19-3AE85CE9AE37}" uniqueName="31" name="PFR" queryTableFieldId="31"/>
    <tableColumn id="32" xr3:uid="{8BBB075C-9543-416B-A8AC-BCAE2B439A5D}" uniqueName="32" name="C_x000a_0" queryTableFieldId="3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D75ED-B196-496E-ADB6-3BFD396DF993}">
  <dimension ref="A1:AE3"/>
  <sheetViews>
    <sheetView workbookViewId="0">
      <selection activeCell="E2" sqref="E2"/>
    </sheetView>
  </sheetViews>
  <sheetFormatPr defaultRowHeight="14.4" x14ac:dyDescent="0.3"/>
  <cols>
    <col min="1" max="1" width="7.77734375" bestFit="1" customWidth="1"/>
    <col min="2" max="2" width="8.44140625" bestFit="1" customWidth="1"/>
    <col min="3" max="3" width="6.109375" bestFit="1" customWidth="1"/>
    <col min="4" max="4" width="5.6640625" bestFit="1" customWidth="1"/>
    <col min="5" max="5" width="6.5546875" bestFit="1" customWidth="1"/>
    <col min="6" max="6" width="6.33203125" bestFit="1" customWidth="1"/>
    <col min="7" max="7" width="6.77734375" bestFit="1" customWidth="1"/>
    <col min="8" max="8" width="9.6640625" bestFit="1" customWidth="1"/>
    <col min="9" max="9" width="7.109375" bestFit="1" customWidth="1"/>
    <col min="10" max="10" width="9.21875" bestFit="1" customWidth="1"/>
    <col min="11" max="11" width="6.88671875" bestFit="1" customWidth="1"/>
    <col min="12" max="12" width="9.21875" bestFit="1" customWidth="1"/>
    <col min="13" max="13" width="6.88671875" bestFit="1" customWidth="1"/>
    <col min="14" max="14" width="8.77734375" bestFit="1" customWidth="1"/>
    <col min="15" max="15" width="6.6640625" bestFit="1" customWidth="1"/>
    <col min="16" max="16" width="6.44140625" bestFit="1" customWidth="1"/>
    <col min="17" max="17" width="5.6640625" bestFit="1" customWidth="1"/>
    <col min="18" max="18" width="5.5546875" bestFit="1" customWidth="1"/>
    <col min="19" max="19" width="6.33203125" bestFit="1" customWidth="1"/>
    <col min="20" max="20" width="6.109375" bestFit="1" customWidth="1"/>
    <col min="21" max="21" width="6.33203125" bestFit="1" customWidth="1"/>
    <col min="22" max="22" width="7.44140625" bestFit="1" customWidth="1"/>
    <col min="23" max="23" width="6.44140625" bestFit="1" customWidth="1"/>
    <col min="24" max="24" width="5.44140625" bestFit="1" customWidth="1"/>
    <col min="25" max="25" width="6.5546875" bestFit="1" customWidth="1"/>
    <col min="26" max="26" width="6.6640625" bestFit="1" customWidth="1"/>
    <col min="27" max="27" width="6.21875" bestFit="1" customWidth="1"/>
    <col min="28" max="28" width="6" bestFit="1" customWidth="1"/>
    <col min="29" max="29" width="6.21875" bestFit="1" customWidth="1"/>
    <col min="30" max="30" width="5.33203125" bestFit="1" customWidth="1"/>
    <col min="31" max="31" width="6.441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39</v>
      </c>
      <c r="B2" t="s">
        <v>40</v>
      </c>
      <c r="C2" t="s">
        <v>32</v>
      </c>
      <c r="D2" t="s">
        <v>34</v>
      </c>
      <c r="E2" t="s">
        <v>34</v>
      </c>
      <c r="F2">
        <v>34</v>
      </c>
      <c r="G2">
        <v>340</v>
      </c>
      <c r="H2" t="s">
        <v>87</v>
      </c>
      <c r="I2">
        <v>356</v>
      </c>
      <c r="J2" t="s">
        <v>88</v>
      </c>
      <c r="K2">
        <v>390</v>
      </c>
      <c r="L2" t="s">
        <v>37</v>
      </c>
      <c r="M2">
        <v>0</v>
      </c>
      <c r="N2">
        <v>45871</v>
      </c>
      <c r="O2">
        <v>250</v>
      </c>
      <c r="P2">
        <v>24</v>
      </c>
      <c r="Q2">
        <v>13</v>
      </c>
      <c r="R2">
        <v>11</v>
      </c>
      <c r="S2">
        <v>8</v>
      </c>
      <c r="T2">
        <v>32</v>
      </c>
      <c r="U2">
        <v>0</v>
      </c>
      <c r="V2">
        <v>0</v>
      </c>
      <c r="W2">
        <v>0</v>
      </c>
      <c r="X2">
        <v>28</v>
      </c>
      <c r="Y2">
        <v>11</v>
      </c>
      <c r="Z2">
        <v>10</v>
      </c>
      <c r="AA2">
        <v>33</v>
      </c>
      <c r="AB2">
        <v>35</v>
      </c>
      <c r="AC2">
        <v>109</v>
      </c>
      <c r="AD2">
        <v>2</v>
      </c>
      <c r="AE2">
        <v>0</v>
      </c>
    </row>
    <row r="3" spans="1:31" x14ac:dyDescent="0.3">
      <c r="A3" t="s">
        <v>89</v>
      </c>
      <c r="B3" t="s">
        <v>0</v>
      </c>
      <c r="C3" t="s">
        <v>32</v>
      </c>
      <c r="D3" t="s">
        <v>33</v>
      </c>
      <c r="E3" t="s">
        <v>34</v>
      </c>
      <c r="F3">
        <v>9</v>
      </c>
      <c r="G3">
        <v>90</v>
      </c>
      <c r="H3" t="s">
        <v>90</v>
      </c>
      <c r="I3">
        <v>154</v>
      </c>
      <c r="J3" t="s">
        <v>91</v>
      </c>
      <c r="K3">
        <v>167</v>
      </c>
      <c r="L3" t="s">
        <v>86</v>
      </c>
      <c r="M3">
        <v>0</v>
      </c>
      <c r="N3">
        <v>45717</v>
      </c>
      <c r="O3">
        <v>333</v>
      </c>
      <c r="P3">
        <v>17</v>
      </c>
      <c r="Q3">
        <v>7</v>
      </c>
      <c r="R3">
        <v>10</v>
      </c>
      <c r="S3">
        <v>0</v>
      </c>
      <c r="T3">
        <v>10</v>
      </c>
      <c r="U3">
        <v>0</v>
      </c>
      <c r="V3">
        <v>0</v>
      </c>
      <c r="W3">
        <v>0</v>
      </c>
      <c r="X3">
        <v>41</v>
      </c>
      <c r="Y3">
        <v>2</v>
      </c>
      <c r="Z3">
        <v>4</v>
      </c>
      <c r="AA3">
        <v>-39</v>
      </c>
      <c r="AB3">
        <v>-29</v>
      </c>
      <c r="AC3">
        <v>-25</v>
      </c>
      <c r="AD3">
        <v>10</v>
      </c>
      <c r="AE3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92DB7-6D8F-4F07-94A7-3E2311BD7088}">
  <dimension ref="A1:AE3"/>
  <sheetViews>
    <sheetView workbookViewId="0">
      <selection activeCell="E2" sqref="E2"/>
    </sheetView>
  </sheetViews>
  <sheetFormatPr defaultRowHeight="14.4" x14ac:dyDescent="0.3"/>
  <cols>
    <col min="1" max="1" width="7.77734375" bestFit="1" customWidth="1"/>
    <col min="2" max="2" width="8.44140625" bestFit="1" customWidth="1"/>
    <col min="3" max="3" width="6.109375" bestFit="1" customWidth="1"/>
    <col min="4" max="4" width="5.6640625" bestFit="1" customWidth="1"/>
    <col min="5" max="5" width="6.5546875" bestFit="1" customWidth="1"/>
    <col min="6" max="6" width="6.33203125" bestFit="1" customWidth="1"/>
    <col min="7" max="7" width="6.77734375" bestFit="1" customWidth="1"/>
    <col min="8" max="8" width="9.6640625" bestFit="1" customWidth="1"/>
    <col min="9" max="9" width="7.109375" bestFit="1" customWidth="1"/>
    <col min="10" max="10" width="9.21875" bestFit="1" customWidth="1"/>
    <col min="11" max="11" width="6.88671875" bestFit="1" customWidth="1"/>
    <col min="12" max="12" width="9.21875" bestFit="1" customWidth="1"/>
    <col min="13" max="13" width="6.88671875" bestFit="1" customWidth="1"/>
    <col min="14" max="14" width="8.77734375" bestFit="1" customWidth="1"/>
    <col min="15" max="15" width="6.6640625" bestFit="1" customWidth="1"/>
    <col min="16" max="16" width="6.44140625" bestFit="1" customWidth="1"/>
    <col min="17" max="17" width="5.6640625" bestFit="1" customWidth="1"/>
    <col min="18" max="18" width="5.5546875" bestFit="1" customWidth="1"/>
    <col min="19" max="19" width="6.33203125" bestFit="1" customWidth="1"/>
    <col min="20" max="20" width="6.109375" bestFit="1" customWidth="1"/>
    <col min="21" max="21" width="6.33203125" bestFit="1" customWidth="1"/>
    <col min="22" max="22" width="7.44140625" bestFit="1" customWidth="1"/>
    <col min="23" max="23" width="6.44140625" bestFit="1" customWidth="1"/>
    <col min="24" max="24" width="5.44140625" bestFit="1" customWidth="1"/>
    <col min="25" max="25" width="6.5546875" bestFit="1" customWidth="1"/>
    <col min="26" max="26" width="6.6640625" bestFit="1" customWidth="1"/>
    <col min="27" max="27" width="6.21875" bestFit="1" customWidth="1"/>
    <col min="28" max="28" width="6" bestFit="1" customWidth="1"/>
    <col min="29" max="29" width="6.21875" bestFit="1" customWidth="1"/>
    <col min="30" max="30" width="5.33203125" bestFit="1" customWidth="1"/>
    <col min="31" max="31" width="6.441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77</v>
      </c>
      <c r="B2" t="s">
        <v>0</v>
      </c>
      <c r="C2" t="s">
        <v>32</v>
      </c>
      <c r="D2" t="s">
        <v>33</v>
      </c>
      <c r="E2" t="s">
        <v>34</v>
      </c>
      <c r="F2">
        <v>40</v>
      </c>
      <c r="G2">
        <v>400</v>
      </c>
      <c r="H2" t="s">
        <v>78</v>
      </c>
      <c r="I2">
        <v>315</v>
      </c>
      <c r="J2" t="s">
        <v>79</v>
      </c>
      <c r="K2">
        <v>314</v>
      </c>
      <c r="L2" t="s">
        <v>80</v>
      </c>
      <c r="M2">
        <v>333</v>
      </c>
      <c r="N2" t="s">
        <v>81</v>
      </c>
      <c r="O2">
        <v>556</v>
      </c>
      <c r="P2">
        <v>41</v>
      </c>
      <c r="Q2">
        <v>20</v>
      </c>
      <c r="R2">
        <v>21</v>
      </c>
      <c r="S2">
        <v>0</v>
      </c>
      <c r="T2">
        <v>12</v>
      </c>
      <c r="U2">
        <v>0</v>
      </c>
      <c r="V2">
        <v>0</v>
      </c>
      <c r="W2">
        <v>0</v>
      </c>
      <c r="X2">
        <v>21</v>
      </c>
      <c r="Y2">
        <v>5</v>
      </c>
      <c r="Z2">
        <v>18</v>
      </c>
      <c r="AA2">
        <v>30</v>
      </c>
      <c r="AB2">
        <v>31</v>
      </c>
      <c r="AC2">
        <v>26</v>
      </c>
      <c r="AD2">
        <v>1</v>
      </c>
      <c r="AE2">
        <v>0</v>
      </c>
    </row>
    <row r="3" spans="1:31" x14ac:dyDescent="0.3">
      <c r="A3" t="s">
        <v>39</v>
      </c>
      <c r="B3" t="s">
        <v>40</v>
      </c>
      <c r="C3" t="s">
        <v>32</v>
      </c>
      <c r="D3" t="s">
        <v>34</v>
      </c>
      <c r="E3" t="s">
        <v>34</v>
      </c>
      <c r="F3">
        <v>14</v>
      </c>
      <c r="G3">
        <v>140</v>
      </c>
      <c r="H3" t="s">
        <v>82</v>
      </c>
      <c r="I3">
        <v>98</v>
      </c>
      <c r="J3" t="s">
        <v>83</v>
      </c>
      <c r="K3">
        <v>86</v>
      </c>
      <c r="L3" t="s">
        <v>84</v>
      </c>
      <c r="M3">
        <v>125</v>
      </c>
      <c r="N3" t="s">
        <v>85</v>
      </c>
      <c r="O3">
        <v>1000</v>
      </c>
      <c r="P3">
        <v>32</v>
      </c>
      <c r="Q3">
        <v>19</v>
      </c>
      <c r="R3">
        <v>13</v>
      </c>
      <c r="S3">
        <v>3</v>
      </c>
      <c r="T3">
        <v>17</v>
      </c>
      <c r="U3">
        <v>2</v>
      </c>
      <c r="V3">
        <v>0</v>
      </c>
      <c r="W3">
        <v>0</v>
      </c>
      <c r="X3">
        <v>24</v>
      </c>
      <c r="Y3">
        <v>2</v>
      </c>
      <c r="Z3">
        <v>2</v>
      </c>
      <c r="AA3">
        <v>-7</v>
      </c>
      <c r="AB3">
        <v>-2</v>
      </c>
      <c r="AC3">
        <v>-130</v>
      </c>
      <c r="AD3">
        <v>5</v>
      </c>
      <c r="AE3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4DAF1-5B82-4C64-9AA1-3D6D59F5D217}">
  <dimension ref="A1:AE3"/>
  <sheetViews>
    <sheetView workbookViewId="0">
      <selection activeCell="E2" sqref="E2"/>
    </sheetView>
  </sheetViews>
  <sheetFormatPr defaultRowHeight="14.4" x14ac:dyDescent="0.3"/>
  <cols>
    <col min="1" max="1" width="7.77734375" bestFit="1" customWidth="1"/>
    <col min="2" max="2" width="8.44140625" bestFit="1" customWidth="1"/>
    <col min="3" max="3" width="6.109375" bestFit="1" customWidth="1"/>
    <col min="4" max="4" width="5.6640625" bestFit="1" customWidth="1"/>
    <col min="5" max="5" width="6.5546875" bestFit="1" customWidth="1"/>
    <col min="6" max="6" width="6.33203125" bestFit="1" customWidth="1"/>
    <col min="7" max="7" width="6.77734375" bestFit="1" customWidth="1"/>
    <col min="8" max="8" width="9.6640625" bestFit="1" customWidth="1"/>
    <col min="9" max="9" width="7.109375" bestFit="1" customWidth="1"/>
    <col min="10" max="10" width="9.21875" bestFit="1" customWidth="1"/>
    <col min="11" max="11" width="6.88671875" bestFit="1" customWidth="1"/>
    <col min="12" max="12" width="9.21875" bestFit="1" customWidth="1"/>
    <col min="13" max="13" width="6.88671875" bestFit="1" customWidth="1"/>
    <col min="14" max="14" width="8.77734375" bestFit="1" customWidth="1"/>
    <col min="15" max="15" width="6.6640625" bestFit="1" customWidth="1"/>
    <col min="16" max="16" width="6.44140625" bestFit="1" customWidth="1"/>
    <col min="17" max="17" width="5.6640625" bestFit="1" customWidth="1"/>
    <col min="18" max="18" width="5.5546875" bestFit="1" customWidth="1"/>
    <col min="19" max="19" width="6.33203125" bestFit="1" customWidth="1"/>
    <col min="20" max="20" width="6.109375" bestFit="1" customWidth="1"/>
    <col min="21" max="21" width="6.33203125" bestFit="1" customWidth="1"/>
    <col min="22" max="22" width="7.44140625" bestFit="1" customWidth="1"/>
    <col min="23" max="23" width="6.44140625" bestFit="1" customWidth="1"/>
    <col min="24" max="24" width="5.44140625" bestFit="1" customWidth="1"/>
    <col min="25" max="25" width="6.5546875" bestFit="1" customWidth="1"/>
    <col min="26" max="26" width="6.6640625" bestFit="1" customWidth="1"/>
    <col min="27" max="27" width="6.21875" bestFit="1" customWidth="1"/>
    <col min="28" max="28" width="6" bestFit="1" customWidth="1"/>
    <col min="29" max="29" width="6.21875" bestFit="1" customWidth="1"/>
    <col min="30" max="30" width="5.33203125" bestFit="1" customWidth="1"/>
    <col min="31" max="31" width="6.441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70</v>
      </c>
      <c r="B2" t="s">
        <v>0</v>
      </c>
      <c r="C2" t="s">
        <v>32</v>
      </c>
      <c r="D2" t="s">
        <v>33</v>
      </c>
      <c r="E2" t="s">
        <v>34</v>
      </c>
      <c r="F2">
        <v>28</v>
      </c>
      <c r="G2">
        <v>280</v>
      </c>
      <c r="H2" t="s">
        <v>71</v>
      </c>
      <c r="I2">
        <v>240</v>
      </c>
      <c r="J2" t="s">
        <v>72</v>
      </c>
      <c r="K2">
        <v>261</v>
      </c>
      <c r="L2" t="s">
        <v>37</v>
      </c>
      <c r="M2">
        <v>0</v>
      </c>
      <c r="N2" t="s">
        <v>73</v>
      </c>
      <c r="O2">
        <v>571</v>
      </c>
      <c r="P2">
        <v>29</v>
      </c>
      <c r="Q2">
        <v>15</v>
      </c>
      <c r="R2">
        <v>14</v>
      </c>
      <c r="S2">
        <v>0</v>
      </c>
      <c r="T2">
        <v>18</v>
      </c>
      <c r="U2">
        <v>0</v>
      </c>
      <c r="V2">
        <v>0</v>
      </c>
      <c r="W2">
        <v>0</v>
      </c>
      <c r="X2">
        <v>32</v>
      </c>
      <c r="Y2">
        <v>14</v>
      </c>
      <c r="Z2">
        <v>2</v>
      </c>
      <c r="AA2">
        <v>-4</v>
      </c>
      <c r="AB2">
        <v>2</v>
      </c>
      <c r="AC2">
        <v>12</v>
      </c>
      <c r="AD2">
        <v>6</v>
      </c>
      <c r="AE2">
        <v>0</v>
      </c>
    </row>
    <row r="3" spans="1:31" x14ac:dyDescent="0.3">
      <c r="A3" t="s">
        <v>39</v>
      </c>
      <c r="B3" t="s">
        <v>40</v>
      </c>
      <c r="C3" t="s">
        <v>32</v>
      </c>
      <c r="D3" t="s">
        <v>34</v>
      </c>
      <c r="E3" t="s">
        <v>34</v>
      </c>
      <c r="F3">
        <v>16</v>
      </c>
      <c r="G3">
        <v>160</v>
      </c>
      <c r="H3" t="s">
        <v>74</v>
      </c>
      <c r="I3">
        <v>226</v>
      </c>
      <c r="J3" t="s">
        <v>75</v>
      </c>
      <c r="K3">
        <v>300</v>
      </c>
      <c r="L3" t="s">
        <v>76</v>
      </c>
      <c r="M3">
        <v>91</v>
      </c>
      <c r="N3" t="s">
        <v>45</v>
      </c>
      <c r="O3">
        <v>200</v>
      </c>
      <c r="P3">
        <v>25</v>
      </c>
      <c r="Q3">
        <v>10</v>
      </c>
      <c r="R3">
        <v>15</v>
      </c>
      <c r="S3">
        <v>4</v>
      </c>
      <c r="T3">
        <v>22</v>
      </c>
      <c r="U3">
        <v>1</v>
      </c>
      <c r="V3">
        <v>0</v>
      </c>
      <c r="W3">
        <v>0</v>
      </c>
      <c r="X3">
        <v>44</v>
      </c>
      <c r="Y3">
        <v>8</v>
      </c>
      <c r="Z3">
        <v>2</v>
      </c>
      <c r="AA3">
        <v>-12</v>
      </c>
      <c r="AB3">
        <v>-4</v>
      </c>
      <c r="AC3">
        <v>-60</v>
      </c>
      <c r="AD3">
        <v>8</v>
      </c>
      <c r="AE3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CF785-23CF-4DBF-A693-36AF6E2F77AB}">
  <dimension ref="A1:AE3"/>
  <sheetViews>
    <sheetView workbookViewId="0">
      <selection activeCell="E2" sqref="E2"/>
    </sheetView>
  </sheetViews>
  <sheetFormatPr defaultRowHeight="14.4" x14ac:dyDescent="0.3"/>
  <cols>
    <col min="1" max="1" width="7.77734375" bestFit="1" customWidth="1"/>
    <col min="2" max="2" width="8.44140625" bestFit="1" customWidth="1"/>
    <col min="3" max="3" width="6.109375" bestFit="1" customWidth="1"/>
    <col min="4" max="4" width="5.6640625" bestFit="1" customWidth="1"/>
    <col min="5" max="5" width="6.5546875" bestFit="1" customWidth="1"/>
    <col min="6" max="6" width="6.33203125" bestFit="1" customWidth="1"/>
    <col min="7" max="7" width="6.77734375" bestFit="1" customWidth="1"/>
    <col min="8" max="8" width="9.6640625" bestFit="1" customWidth="1"/>
    <col min="9" max="9" width="7.109375" bestFit="1" customWidth="1"/>
    <col min="10" max="10" width="9.21875" bestFit="1" customWidth="1"/>
    <col min="11" max="11" width="6.88671875" bestFit="1" customWidth="1"/>
    <col min="12" max="12" width="9.21875" bestFit="1" customWidth="1"/>
    <col min="13" max="13" width="6.88671875" bestFit="1" customWidth="1"/>
    <col min="14" max="14" width="8.77734375" bestFit="1" customWidth="1"/>
    <col min="15" max="15" width="6.6640625" bestFit="1" customWidth="1"/>
    <col min="16" max="16" width="6.44140625" bestFit="1" customWidth="1"/>
    <col min="17" max="17" width="5.6640625" bestFit="1" customWidth="1"/>
    <col min="18" max="18" width="5.5546875" bestFit="1" customWidth="1"/>
    <col min="19" max="19" width="6.33203125" bestFit="1" customWidth="1"/>
    <col min="20" max="20" width="6.109375" bestFit="1" customWidth="1"/>
    <col min="21" max="21" width="6.33203125" bestFit="1" customWidth="1"/>
    <col min="22" max="22" width="7.44140625" bestFit="1" customWidth="1"/>
    <col min="23" max="23" width="6.44140625" bestFit="1" customWidth="1"/>
    <col min="24" max="24" width="5.44140625" bestFit="1" customWidth="1"/>
    <col min="25" max="25" width="6.5546875" bestFit="1" customWidth="1"/>
    <col min="26" max="26" width="6.6640625" bestFit="1" customWidth="1"/>
    <col min="27" max="27" width="6.21875" bestFit="1" customWidth="1"/>
    <col min="28" max="28" width="6" bestFit="1" customWidth="1"/>
    <col min="29" max="29" width="6.21875" bestFit="1" customWidth="1"/>
    <col min="30" max="30" width="5.33203125" bestFit="1" customWidth="1"/>
    <col min="31" max="31" width="6.777343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63</v>
      </c>
    </row>
    <row r="2" spans="1:31" x14ac:dyDescent="0.3">
      <c r="A2" t="s">
        <v>39</v>
      </c>
      <c r="B2" t="s">
        <v>40</v>
      </c>
      <c r="C2" t="s">
        <v>32</v>
      </c>
      <c r="D2" t="s">
        <v>34</v>
      </c>
      <c r="E2" t="s">
        <v>34</v>
      </c>
      <c r="F2">
        <v>15</v>
      </c>
      <c r="G2">
        <v>150</v>
      </c>
      <c r="H2" t="s">
        <v>64</v>
      </c>
      <c r="I2">
        <v>250</v>
      </c>
      <c r="J2" t="s">
        <v>65</v>
      </c>
      <c r="K2">
        <v>250</v>
      </c>
      <c r="L2" t="s">
        <v>62</v>
      </c>
      <c r="M2">
        <v>250</v>
      </c>
      <c r="N2" t="s">
        <v>44</v>
      </c>
      <c r="O2">
        <v>0</v>
      </c>
      <c r="P2">
        <v>32</v>
      </c>
      <c r="Q2">
        <v>5</v>
      </c>
      <c r="R2">
        <v>27</v>
      </c>
      <c r="S2">
        <v>4</v>
      </c>
      <c r="T2">
        <v>6</v>
      </c>
      <c r="U2">
        <v>0</v>
      </c>
      <c r="V2">
        <v>0</v>
      </c>
      <c r="W2">
        <v>0</v>
      </c>
      <c r="X2">
        <v>43</v>
      </c>
      <c r="Y2">
        <v>4</v>
      </c>
      <c r="Z2">
        <v>0</v>
      </c>
      <c r="AA2">
        <v>-14</v>
      </c>
      <c r="AB2">
        <v>-12</v>
      </c>
      <c r="AC2">
        <v>-139</v>
      </c>
      <c r="AD2">
        <v>2</v>
      </c>
      <c r="AE2">
        <v>0</v>
      </c>
    </row>
    <row r="3" spans="1:31" x14ac:dyDescent="0.3">
      <c r="A3" t="s">
        <v>66</v>
      </c>
      <c r="B3" t="s">
        <v>0</v>
      </c>
      <c r="C3" t="s">
        <v>32</v>
      </c>
      <c r="D3" t="s">
        <v>33</v>
      </c>
      <c r="E3" t="s">
        <v>34</v>
      </c>
      <c r="F3">
        <v>40</v>
      </c>
      <c r="G3">
        <v>400</v>
      </c>
      <c r="H3" t="s">
        <v>67</v>
      </c>
      <c r="I3">
        <v>229</v>
      </c>
      <c r="J3" t="s">
        <v>68</v>
      </c>
      <c r="K3">
        <v>244</v>
      </c>
      <c r="L3" t="s">
        <v>44</v>
      </c>
      <c r="M3">
        <v>0</v>
      </c>
      <c r="N3" t="s">
        <v>69</v>
      </c>
      <c r="O3">
        <v>500</v>
      </c>
      <c r="P3">
        <v>36</v>
      </c>
      <c r="Q3">
        <v>26</v>
      </c>
      <c r="R3">
        <v>10</v>
      </c>
      <c r="S3">
        <v>0</v>
      </c>
      <c r="T3">
        <v>29</v>
      </c>
      <c r="U3">
        <v>0</v>
      </c>
      <c r="V3">
        <v>0</v>
      </c>
      <c r="W3">
        <v>0</v>
      </c>
      <c r="X3">
        <v>10</v>
      </c>
      <c r="Y3">
        <v>18</v>
      </c>
      <c r="Z3">
        <v>10</v>
      </c>
      <c r="AA3">
        <v>28</v>
      </c>
      <c r="AB3">
        <v>29</v>
      </c>
      <c r="AC3">
        <v>25</v>
      </c>
      <c r="AD3">
        <v>1</v>
      </c>
      <c r="AE3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A578D-8F52-465F-8374-209AF90AC85E}">
  <dimension ref="A1:AE3"/>
  <sheetViews>
    <sheetView workbookViewId="0">
      <selection activeCell="E2" sqref="E2"/>
    </sheetView>
  </sheetViews>
  <sheetFormatPr defaultRowHeight="14.4" x14ac:dyDescent="0.3"/>
  <cols>
    <col min="1" max="1" width="12.88671875" bestFit="1" customWidth="1"/>
    <col min="2" max="2" width="8.44140625" bestFit="1" customWidth="1"/>
    <col min="3" max="3" width="6.109375" bestFit="1" customWidth="1"/>
    <col min="4" max="4" width="5.6640625" bestFit="1" customWidth="1"/>
    <col min="5" max="5" width="6.5546875" bestFit="1" customWidth="1"/>
    <col min="6" max="6" width="6.33203125" bestFit="1" customWidth="1"/>
    <col min="7" max="7" width="6.77734375" bestFit="1" customWidth="1"/>
    <col min="8" max="8" width="9.6640625" bestFit="1" customWidth="1"/>
    <col min="9" max="9" width="7.109375" bestFit="1" customWidth="1"/>
    <col min="10" max="10" width="9.21875" bestFit="1" customWidth="1"/>
    <col min="11" max="11" width="6.88671875" bestFit="1" customWidth="1"/>
    <col min="12" max="12" width="9.21875" bestFit="1" customWidth="1"/>
    <col min="13" max="13" width="6.88671875" bestFit="1" customWidth="1"/>
    <col min="14" max="14" width="8.77734375" bestFit="1" customWidth="1"/>
    <col min="15" max="15" width="6.6640625" bestFit="1" customWidth="1"/>
    <col min="16" max="16" width="6.44140625" bestFit="1" customWidth="1"/>
    <col min="17" max="17" width="5.6640625" bestFit="1" customWidth="1"/>
    <col min="18" max="18" width="5.5546875" bestFit="1" customWidth="1"/>
    <col min="19" max="19" width="6.33203125" bestFit="1" customWidth="1"/>
    <col min="20" max="20" width="6.109375" bestFit="1" customWidth="1"/>
    <col min="21" max="21" width="6.33203125" bestFit="1" customWidth="1"/>
    <col min="22" max="22" width="7.44140625" bestFit="1" customWidth="1"/>
    <col min="23" max="23" width="6.44140625" bestFit="1" customWidth="1"/>
    <col min="24" max="24" width="5.44140625" bestFit="1" customWidth="1"/>
    <col min="25" max="25" width="6.5546875" bestFit="1" customWidth="1"/>
    <col min="26" max="26" width="6.6640625" bestFit="1" customWidth="1"/>
    <col min="27" max="27" width="6.21875" bestFit="1" customWidth="1"/>
    <col min="28" max="28" width="6" bestFit="1" customWidth="1"/>
    <col min="29" max="29" width="6.21875" bestFit="1" customWidth="1"/>
    <col min="30" max="30" width="5.33203125" bestFit="1" customWidth="1"/>
    <col min="31" max="31" width="6.441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 t="s">
        <v>0</v>
      </c>
      <c r="C2" t="s">
        <v>32</v>
      </c>
      <c r="D2" t="s">
        <v>33</v>
      </c>
      <c r="E2" t="s">
        <v>34</v>
      </c>
      <c r="F2">
        <v>29</v>
      </c>
      <c r="G2">
        <v>290</v>
      </c>
      <c r="H2" t="s">
        <v>35</v>
      </c>
      <c r="I2">
        <v>246</v>
      </c>
      <c r="J2" t="s">
        <v>36</v>
      </c>
      <c r="K2">
        <v>264</v>
      </c>
      <c r="L2" t="s">
        <v>37</v>
      </c>
      <c r="M2">
        <v>0</v>
      </c>
      <c r="N2" t="s">
        <v>38</v>
      </c>
      <c r="O2">
        <v>111</v>
      </c>
      <c r="P2">
        <v>34</v>
      </c>
      <c r="Q2">
        <v>20</v>
      </c>
      <c r="R2">
        <v>14</v>
      </c>
      <c r="S2">
        <v>0</v>
      </c>
      <c r="T2">
        <v>0</v>
      </c>
      <c r="U2">
        <v>0</v>
      </c>
      <c r="V2">
        <v>0</v>
      </c>
      <c r="W2">
        <v>0</v>
      </c>
      <c r="X2">
        <v>25</v>
      </c>
      <c r="Y2">
        <v>14</v>
      </c>
      <c r="Z2">
        <v>4</v>
      </c>
      <c r="AA2">
        <v>-13</v>
      </c>
      <c r="AB2">
        <v>-13</v>
      </c>
      <c r="AC2">
        <v>16</v>
      </c>
      <c r="AD2">
        <v>0</v>
      </c>
      <c r="AE2">
        <v>0</v>
      </c>
    </row>
    <row r="3" spans="1:31" x14ac:dyDescent="0.3">
      <c r="A3" t="s">
        <v>39</v>
      </c>
      <c r="B3" t="s">
        <v>40</v>
      </c>
      <c r="C3" t="s">
        <v>32</v>
      </c>
      <c r="D3" t="s">
        <v>34</v>
      </c>
      <c r="E3" t="s">
        <v>34</v>
      </c>
      <c r="F3">
        <v>13</v>
      </c>
      <c r="G3">
        <v>130</v>
      </c>
      <c r="H3" t="s">
        <v>41</v>
      </c>
      <c r="I3">
        <v>162</v>
      </c>
      <c r="J3" t="s">
        <v>42</v>
      </c>
      <c r="K3">
        <v>208</v>
      </c>
      <c r="L3" t="s">
        <v>43</v>
      </c>
      <c r="M3">
        <v>77</v>
      </c>
      <c r="N3" t="s">
        <v>44</v>
      </c>
      <c r="O3">
        <v>0</v>
      </c>
      <c r="P3">
        <v>30</v>
      </c>
      <c r="Q3">
        <v>8</v>
      </c>
      <c r="R3">
        <v>22</v>
      </c>
      <c r="S3">
        <v>2</v>
      </c>
      <c r="T3">
        <v>6</v>
      </c>
      <c r="U3">
        <v>0</v>
      </c>
      <c r="V3">
        <v>0</v>
      </c>
      <c r="W3">
        <v>0</v>
      </c>
      <c r="X3">
        <v>39</v>
      </c>
      <c r="Y3">
        <v>2</v>
      </c>
      <c r="Z3">
        <v>2</v>
      </c>
      <c r="AA3">
        <v>-30</v>
      </c>
      <c r="AB3">
        <v>-24</v>
      </c>
      <c r="AC3">
        <v>-80</v>
      </c>
      <c r="AD3">
        <v>6</v>
      </c>
      <c r="AE3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6A06E-E387-437E-AFD2-5D2E810A3722}">
  <dimension ref="A1:AF3"/>
  <sheetViews>
    <sheetView workbookViewId="0">
      <selection activeCell="E2" sqref="E2"/>
    </sheetView>
  </sheetViews>
  <sheetFormatPr defaultRowHeight="14.4" x14ac:dyDescent="0.3"/>
  <cols>
    <col min="1" max="1" width="7.77734375" bestFit="1" customWidth="1"/>
    <col min="2" max="2" width="8.44140625" bestFit="1" customWidth="1"/>
    <col min="3" max="3" width="6.109375" bestFit="1" customWidth="1"/>
    <col min="4" max="4" width="5.6640625" bestFit="1" customWidth="1"/>
    <col min="5" max="5" width="6.5546875" bestFit="1" customWidth="1"/>
    <col min="6" max="6" width="6.33203125" bestFit="1" customWidth="1"/>
    <col min="7" max="7" width="6.77734375" bestFit="1" customWidth="1"/>
    <col min="8" max="8" width="9.6640625" bestFit="1" customWidth="1"/>
    <col min="9" max="9" width="7.109375" bestFit="1" customWidth="1"/>
    <col min="10" max="10" width="9.21875" bestFit="1" customWidth="1"/>
    <col min="11" max="11" width="6.88671875" bestFit="1" customWidth="1"/>
    <col min="12" max="12" width="9.21875" bestFit="1" customWidth="1"/>
    <col min="13" max="13" width="6.88671875" bestFit="1" customWidth="1"/>
    <col min="14" max="14" width="8.77734375" bestFit="1" customWidth="1"/>
    <col min="15" max="15" width="6.6640625" bestFit="1" customWidth="1"/>
    <col min="16" max="16" width="6.44140625" bestFit="1" customWidth="1"/>
    <col min="17" max="17" width="5.6640625" bestFit="1" customWidth="1"/>
    <col min="18" max="18" width="5.5546875" bestFit="1" customWidth="1"/>
    <col min="19" max="19" width="6.33203125" bestFit="1" customWidth="1"/>
    <col min="20" max="20" width="6.109375" bestFit="1" customWidth="1"/>
    <col min="21" max="21" width="6.33203125" bestFit="1" customWidth="1"/>
    <col min="22" max="22" width="7.44140625" bestFit="1" customWidth="1"/>
    <col min="23" max="23" width="6.44140625" bestFit="1" customWidth="1"/>
    <col min="24" max="24" width="5.44140625" bestFit="1" customWidth="1"/>
    <col min="25" max="25" width="6.5546875" bestFit="1" customWidth="1"/>
    <col min="26" max="26" width="6.6640625" bestFit="1" customWidth="1"/>
    <col min="27" max="27" width="6.21875" bestFit="1" customWidth="1"/>
    <col min="28" max="28" width="6" bestFit="1" customWidth="1"/>
    <col min="29" max="29" width="6.21875" bestFit="1" customWidth="1"/>
    <col min="30" max="30" width="5.33203125" bestFit="1" customWidth="1"/>
    <col min="31" max="31" width="6.44140625" bestFit="1" customWidth="1"/>
    <col min="32" max="32" width="6.21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53</v>
      </c>
    </row>
    <row r="2" spans="1:32" x14ac:dyDescent="0.3">
      <c r="A2" t="s">
        <v>39</v>
      </c>
      <c r="B2" t="s">
        <v>40</v>
      </c>
      <c r="C2" t="s">
        <v>32</v>
      </c>
      <c r="D2" t="s">
        <v>34</v>
      </c>
      <c r="E2" t="s">
        <v>34</v>
      </c>
      <c r="F2">
        <v>7</v>
      </c>
      <c r="G2">
        <v>70</v>
      </c>
      <c r="H2" t="s">
        <v>92</v>
      </c>
      <c r="I2">
        <v>103</v>
      </c>
      <c r="J2" t="s">
        <v>93</v>
      </c>
      <c r="K2">
        <v>136</v>
      </c>
      <c r="L2" t="s">
        <v>94</v>
      </c>
      <c r="M2">
        <v>0</v>
      </c>
      <c r="N2" t="s">
        <v>95</v>
      </c>
      <c r="O2">
        <v>500</v>
      </c>
      <c r="P2">
        <v>15</v>
      </c>
      <c r="Q2">
        <v>7</v>
      </c>
      <c r="R2">
        <v>8</v>
      </c>
      <c r="S2">
        <v>2</v>
      </c>
      <c r="T2">
        <v>9</v>
      </c>
      <c r="U2">
        <v>0</v>
      </c>
      <c r="V2">
        <v>0</v>
      </c>
      <c r="W2">
        <v>0</v>
      </c>
      <c r="X2">
        <v>18</v>
      </c>
      <c r="Y2">
        <v>0</v>
      </c>
      <c r="Z2">
        <v>0</v>
      </c>
      <c r="AA2">
        <v>-14</v>
      </c>
      <c r="AB2">
        <v>-12</v>
      </c>
      <c r="AC2">
        <v>-72</v>
      </c>
      <c r="AD2">
        <v>2</v>
      </c>
      <c r="AE2">
        <v>0</v>
      </c>
      <c r="AF2">
        <v>0</v>
      </c>
    </row>
    <row r="3" spans="1:32" x14ac:dyDescent="0.3">
      <c r="A3" t="s">
        <v>96</v>
      </c>
      <c r="B3" t="s">
        <v>0</v>
      </c>
      <c r="C3" t="s">
        <v>32</v>
      </c>
      <c r="D3" t="s">
        <v>33</v>
      </c>
      <c r="E3" t="s">
        <v>34</v>
      </c>
      <c r="F3">
        <v>22</v>
      </c>
      <c r="G3">
        <v>220</v>
      </c>
      <c r="H3" t="s">
        <v>97</v>
      </c>
      <c r="I3">
        <v>243</v>
      </c>
      <c r="J3" t="s">
        <v>98</v>
      </c>
      <c r="K3">
        <v>296</v>
      </c>
      <c r="L3" t="s">
        <v>99</v>
      </c>
      <c r="M3">
        <v>100</v>
      </c>
      <c r="N3" t="s">
        <v>100</v>
      </c>
      <c r="O3">
        <v>600</v>
      </c>
      <c r="P3">
        <v>28</v>
      </c>
      <c r="Q3">
        <v>13</v>
      </c>
      <c r="R3">
        <v>15</v>
      </c>
      <c r="S3">
        <v>0</v>
      </c>
      <c r="T3">
        <v>7</v>
      </c>
      <c r="U3">
        <v>0</v>
      </c>
      <c r="V3">
        <v>0</v>
      </c>
      <c r="W3">
        <v>0</v>
      </c>
      <c r="X3">
        <v>19</v>
      </c>
      <c r="Y3">
        <v>5</v>
      </c>
      <c r="Z3">
        <v>9</v>
      </c>
      <c r="AA3">
        <v>5</v>
      </c>
      <c r="AB3">
        <v>8</v>
      </c>
      <c r="AC3">
        <v>15</v>
      </c>
      <c r="AD3">
        <v>3</v>
      </c>
      <c r="AE3">
        <v>0</v>
      </c>
      <c r="AF3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E9FC6-6F28-4151-B878-37D065AA712B}">
  <dimension ref="A1:AE3"/>
  <sheetViews>
    <sheetView workbookViewId="0">
      <selection activeCell="E2" sqref="E2"/>
    </sheetView>
  </sheetViews>
  <sheetFormatPr defaultRowHeight="14.4" x14ac:dyDescent="0.3"/>
  <cols>
    <col min="1" max="1" width="12" bestFit="1" customWidth="1"/>
    <col min="2" max="2" width="8.44140625" bestFit="1" customWidth="1"/>
    <col min="3" max="3" width="6.109375" bestFit="1" customWidth="1"/>
    <col min="4" max="4" width="5.6640625" bestFit="1" customWidth="1"/>
    <col min="5" max="5" width="6.5546875" bestFit="1" customWidth="1"/>
    <col min="6" max="6" width="6.33203125" bestFit="1" customWidth="1"/>
    <col min="7" max="7" width="6.77734375" bestFit="1" customWidth="1"/>
    <col min="8" max="8" width="9.6640625" bestFit="1" customWidth="1"/>
    <col min="9" max="9" width="7.109375" bestFit="1" customWidth="1"/>
    <col min="10" max="10" width="9.21875" bestFit="1" customWidth="1"/>
    <col min="11" max="11" width="6.88671875" bestFit="1" customWidth="1"/>
    <col min="12" max="12" width="9.21875" bestFit="1" customWidth="1"/>
    <col min="13" max="13" width="6.88671875" bestFit="1" customWidth="1"/>
    <col min="14" max="14" width="8.77734375" bestFit="1" customWidth="1"/>
    <col min="15" max="15" width="6.6640625" bestFit="1" customWidth="1"/>
    <col min="16" max="16" width="6.44140625" bestFit="1" customWidth="1"/>
    <col min="17" max="17" width="5.6640625" bestFit="1" customWidth="1"/>
    <col min="18" max="18" width="5.5546875" bestFit="1" customWidth="1"/>
    <col min="19" max="19" width="6.33203125" bestFit="1" customWidth="1"/>
    <col min="20" max="20" width="6.109375" bestFit="1" customWidth="1"/>
    <col min="21" max="21" width="6.33203125" bestFit="1" customWidth="1"/>
    <col min="22" max="22" width="7.44140625" bestFit="1" customWidth="1"/>
    <col min="23" max="23" width="6.44140625" bestFit="1" customWidth="1"/>
    <col min="24" max="24" width="5.44140625" bestFit="1" customWidth="1"/>
    <col min="25" max="25" width="6.5546875" bestFit="1" customWidth="1"/>
    <col min="26" max="26" width="6.6640625" bestFit="1" customWidth="1"/>
    <col min="27" max="27" width="6.21875" bestFit="1" customWidth="1"/>
    <col min="28" max="28" width="6" bestFit="1" customWidth="1"/>
    <col min="29" max="29" width="6.21875" bestFit="1" customWidth="1"/>
    <col min="30" max="30" width="5.33203125" bestFit="1" customWidth="1"/>
    <col min="31" max="31" width="6.441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39</v>
      </c>
      <c r="B2" t="s">
        <v>40</v>
      </c>
      <c r="C2" t="s">
        <v>32</v>
      </c>
      <c r="D2" t="s">
        <v>34</v>
      </c>
      <c r="E2" t="s">
        <v>34</v>
      </c>
      <c r="F2">
        <v>15</v>
      </c>
      <c r="G2">
        <v>150</v>
      </c>
      <c r="H2" t="s">
        <v>46</v>
      </c>
      <c r="I2">
        <v>194</v>
      </c>
      <c r="J2" t="s">
        <v>47</v>
      </c>
      <c r="K2">
        <v>280</v>
      </c>
      <c r="L2" t="s">
        <v>48</v>
      </c>
      <c r="M2">
        <v>0</v>
      </c>
      <c r="N2" t="s">
        <v>45</v>
      </c>
      <c r="O2">
        <v>200</v>
      </c>
      <c r="P2">
        <v>18</v>
      </c>
      <c r="Q2">
        <v>4</v>
      </c>
      <c r="R2">
        <v>14</v>
      </c>
      <c r="S2">
        <v>5</v>
      </c>
      <c r="T2">
        <v>9</v>
      </c>
      <c r="U2">
        <v>0</v>
      </c>
      <c r="V2">
        <v>0</v>
      </c>
      <c r="W2">
        <v>0</v>
      </c>
      <c r="X2">
        <v>22</v>
      </c>
      <c r="Y2">
        <v>4</v>
      </c>
      <c r="Z2">
        <v>2</v>
      </c>
      <c r="AA2">
        <v>-12</v>
      </c>
      <c r="AB2">
        <v>-8</v>
      </c>
      <c r="AC2">
        <v>-25</v>
      </c>
      <c r="AD2">
        <v>4</v>
      </c>
      <c r="AE2">
        <v>0</v>
      </c>
    </row>
    <row r="3" spans="1:31" x14ac:dyDescent="0.3">
      <c r="A3" t="s">
        <v>109</v>
      </c>
      <c r="B3" t="s">
        <v>0</v>
      </c>
      <c r="C3" t="s">
        <v>32</v>
      </c>
      <c r="D3" t="s">
        <v>33</v>
      </c>
      <c r="E3" t="s">
        <v>34</v>
      </c>
      <c r="F3">
        <v>20</v>
      </c>
      <c r="G3">
        <v>200</v>
      </c>
      <c r="H3" t="s">
        <v>49</v>
      </c>
      <c r="I3">
        <v>170</v>
      </c>
      <c r="J3" t="s">
        <v>50</v>
      </c>
      <c r="K3">
        <v>231</v>
      </c>
      <c r="L3" t="s">
        <v>51</v>
      </c>
      <c r="M3">
        <v>0</v>
      </c>
      <c r="N3" t="s">
        <v>52</v>
      </c>
      <c r="O3">
        <v>286</v>
      </c>
      <c r="P3">
        <v>38</v>
      </c>
      <c r="Q3">
        <v>22</v>
      </c>
      <c r="R3">
        <v>16</v>
      </c>
      <c r="S3">
        <v>0</v>
      </c>
      <c r="T3">
        <v>0</v>
      </c>
      <c r="U3">
        <v>0</v>
      </c>
      <c r="V3">
        <v>0</v>
      </c>
      <c r="W3">
        <v>0</v>
      </c>
      <c r="X3">
        <v>23</v>
      </c>
      <c r="Y3">
        <v>4</v>
      </c>
      <c r="Z3">
        <v>8</v>
      </c>
      <c r="AA3">
        <v>-14</v>
      </c>
      <c r="AB3">
        <v>-14</v>
      </c>
      <c r="AC3">
        <v>5</v>
      </c>
      <c r="AD3">
        <v>0</v>
      </c>
      <c r="AE3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1944F-7142-4AEC-A5FE-7AA49B81156D}">
  <dimension ref="A1:AE3"/>
  <sheetViews>
    <sheetView workbookViewId="0">
      <selection activeCell="E2" sqref="E2"/>
    </sheetView>
  </sheetViews>
  <sheetFormatPr defaultRowHeight="14.4" x14ac:dyDescent="0.3"/>
  <cols>
    <col min="1" max="1" width="10.44140625" bestFit="1" customWidth="1"/>
    <col min="2" max="2" width="8.44140625" bestFit="1" customWidth="1"/>
    <col min="3" max="3" width="6.109375" bestFit="1" customWidth="1"/>
    <col min="4" max="4" width="5.6640625" bestFit="1" customWidth="1"/>
    <col min="5" max="5" width="6.5546875" bestFit="1" customWidth="1"/>
    <col min="6" max="6" width="6.33203125" bestFit="1" customWidth="1"/>
    <col min="7" max="7" width="6.77734375" bestFit="1" customWidth="1"/>
    <col min="8" max="8" width="9.6640625" bestFit="1" customWidth="1"/>
    <col min="9" max="9" width="7.109375" bestFit="1" customWidth="1"/>
    <col min="10" max="10" width="9.21875" bestFit="1" customWidth="1"/>
    <col min="11" max="11" width="6.88671875" bestFit="1" customWidth="1"/>
    <col min="12" max="12" width="9.21875" bestFit="1" customWidth="1"/>
    <col min="13" max="13" width="6.88671875" bestFit="1" customWidth="1"/>
    <col min="14" max="14" width="8.77734375" bestFit="1" customWidth="1"/>
    <col min="15" max="15" width="6.6640625" bestFit="1" customWidth="1"/>
    <col min="16" max="16" width="6.44140625" bestFit="1" customWidth="1"/>
    <col min="17" max="17" width="5.6640625" bestFit="1" customWidth="1"/>
    <col min="18" max="18" width="5.5546875" bestFit="1" customWidth="1"/>
    <col min="19" max="19" width="6.33203125" bestFit="1" customWidth="1"/>
    <col min="20" max="20" width="6.109375" bestFit="1" customWidth="1"/>
    <col min="21" max="21" width="6.33203125" bestFit="1" customWidth="1"/>
    <col min="22" max="22" width="7.44140625" bestFit="1" customWidth="1"/>
    <col min="23" max="23" width="6.44140625" bestFit="1" customWidth="1"/>
    <col min="24" max="24" width="5.44140625" bestFit="1" customWidth="1"/>
    <col min="25" max="25" width="6.5546875" bestFit="1" customWidth="1"/>
    <col min="26" max="26" width="6.6640625" bestFit="1" customWidth="1"/>
    <col min="27" max="27" width="6.21875" bestFit="1" customWidth="1"/>
    <col min="28" max="28" width="6" bestFit="1" customWidth="1"/>
    <col min="29" max="29" width="6.21875" bestFit="1" customWidth="1"/>
    <col min="30" max="30" width="5.33203125" bestFit="1" customWidth="1"/>
    <col min="31" max="31" width="6.441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39</v>
      </c>
      <c r="B2" t="s">
        <v>40</v>
      </c>
      <c r="C2" t="s">
        <v>32</v>
      </c>
      <c r="D2" t="s">
        <v>34</v>
      </c>
      <c r="E2" t="s">
        <v>34</v>
      </c>
      <c r="F2">
        <v>7</v>
      </c>
      <c r="G2">
        <v>70</v>
      </c>
      <c r="H2" t="s">
        <v>101</v>
      </c>
      <c r="I2">
        <v>53</v>
      </c>
      <c r="J2" t="s">
        <v>102</v>
      </c>
      <c r="K2">
        <v>87</v>
      </c>
      <c r="L2" t="s">
        <v>103</v>
      </c>
      <c r="M2">
        <v>0</v>
      </c>
      <c r="N2" t="s">
        <v>104</v>
      </c>
      <c r="O2">
        <v>375</v>
      </c>
      <c r="P2">
        <v>23</v>
      </c>
      <c r="Q2">
        <v>9</v>
      </c>
      <c r="R2">
        <v>14</v>
      </c>
      <c r="S2">
        <v>2</v>
      </c>
      <c r="T2">
        <v>12</v>
      </c>
      <c r="U2">
        <v>0</v>
      </c>
      <c r="V2">
        <v>0</v>
      </c>
      <c r="W2">
        <v>0</v>
      </c>
      <c r="X2">
        <v>35</v>
      </c>
      <c r="Y2">
        <v>3</v>
      </c>
      <c r="Z2">
        <v>0</v>
      </c>
      <c r="AA2">
        <v>-39</v>
      </c>
      <c r="AB2">
        <v>-32</v>
      </c>
      <c r="AC2">
        <v>-106</v>
      </c>
      <c r="AD2">
        <v>7</v>
      </c>
      <c r="AE2">
        <v>0</v>
      </c>
    </row>
    <row r="3" spans="1:31" x14ac:dyDescent="0.3">
      <c r="A3" t="s">
        <v>105</v>
      </c>
      <c r="B3" t="s">
        <v>0</v>
      </c>
      <c r="C3" t="s">
        <v>32</v>
      </c>
      <c r="D3" t="s">
        <v>33</v>
      </c>
      <c r="E3" t="s">
        <v>34</v>
      </c>
      <c r="F3">
        <v>29</v>
      </c>
      <c r="G3">
        <v>290</v>
      </c>
      <c r="H3" t="s">
        <v>106</v>
      </c>
      <c r="I3">
        <v>283</v>
      </c>
      <c r="J3" t="s">
        <v>107</v>
      </c>
      <c r="K3">
        <v>317</v>
      </c>
      <c r="L3" t="s">
        <v>44</v>
      </c>
      <c r="M3">
        <v>0</v>
      </c>
      <c r="N3" t="s">
        <v>108</v>
      </c>
      <c r="O3">
        <v>250</v>
      </c>
      <c r="P3">
        <v>36</v>
      </c>
      <c r="Q3">
        <v>16</v>
      </c>
      <c r="R3">
        <v>20</v>
      </c>
      <c r="S3">
        <v>0</v>
      </c>
      <c r="T3">
        <v>17</v>
      </c>
      <c r="U3">
        <v>0</v>
      </c>
      <c r="V3">
        <v>0</v>
      </c>
      <c r="W3">
        <v>0</v>
      </c>
      <c r="X3">
        <v>33</v>
      </c>
      <c r="Y3">
        <v>11</v>
      </c>
      <c r="Z3">
        <v>10</v>
      </c>
      <c r="AA3">
        <v>4</v>
      </c>
      <c r="AB3">
        <v>7</v>
      </c>
      <c r="AC3">
        <v>22</v>
      </c>
      <c r="AD3">
        <v>3</v>
      </c>
      <c r="AE3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F9847-6475-4EAF-817D-F67684FEA8D3}">
  <dimension ref="A3:T26"/>
  <sheetViews>
    <sheetView tabSelected="1" topLeftCell="K1" workbookViewId="0">
      <selection activeCell="L11" sqref="L11"/>
    </sheetView>
  </sheetViews>
  <sheetFormatPr defaultRowHeight="14.4" x14ac:dyDescent="0.3"/>
  <cols>
    <col min="1" max="1" width="12.88671875" bestFit="1" customWidth="1"/>
    <col min="2" max="2" width="12" bestFit="1" customWidth="1"/>
    <col min="3" max="3" width="12.77734375" bestFit="1" customWidth="1"/>
    <col min="4" max="4" width="12.109375" bestFit="1" customWidth="1"/>
    <col min="5" max="5" width="17.6640625" bestFit="1" customWidth="1"/>
    <col min="6" max="6" width="13.44140625" bestFit="1" customWidth="1"/>
    <col min="7" max="7" width="15.6640625" bestFit="1" customWidth="1"/>
    <col min="8" max="9" width="15.5546875" bestFit="1" customWidth="1"/>
    <col min="12" max="12" width="11.6640625" bestFit="1" customWidth="1"/>
    <col min="13" max="13" width="12" bestFit="1" customWidth="1"/>
    <col min="14" max="14" width="12.77734375" bestFit="1" customWidth="1"/>
    <col min="15" max="15" width="17.6640625" bestFit="1" customWidth="1"/>
    <col min="16" max="16" width="13.44140625" bestFit="1" customWidth="1"/>
    <col min="17" max="17" width="15.6640625" bestFit="1" customWidth="1"/>
    <col min="18" max="19" width="15.5546875" bestFit="1" customWidth="1"/>
    <col min="20" max="21" width="11.33203125" bestFit="1" customWidth="1"/>
    <col min="22" max="22" width="7.88671875" bestFit="1" customWidth="1"/>
    <col min="23" max="23" width="4.33203125" bestFit="1" customWidth="1"/>
    <col min="24" max="24" width="7.88671875" bestFit="1" customWidth="1"/>
    <col min="25" max="25" width="17.6640625" bestFit="1" customWidth="1"/>
    <col min="26" max="26" width="12.21875" bestFit="1" customWidth="1"/>
    <col min="27" max="27" width="4.5546875" bestFit="1" customWidth="1"/>
    <col min="28" max="28" width="7.88671875" bestFit="1" customWidth="1"/>
    <col min="29" max="29" width="13.44140625" bestFit="1" customWidth="1"/>
    <col min="30" max="30" width="12.21875" bestFit="1" customWidth="1"/>
    <col min="31" max="31" width="6" bestFit="1" customWidth="1"/>
    <col min="32" max="32" width="7.88671875" bestFit="1" customWidth="1"/>
    <col min="33" max="33" width="15.6640625" bestFit="1" customWidth="1"/>
    <col min="34" max="34" width="12.21875" bestFit="1" customWidth="1"/>
    <col min="35" max="36" width="12" bestFit="1" customWidth="1"/>
    <col min="37" max="37" width="15.5546875" bestFit="1" customWidth="1"/>
    <col min="38" max="38" width="12.21875" bestFit="1" customWidth="1"/>
    <col min="39" max="39" width="5" bestFit="1" customWidth="1"/>
    <col min="40" max="40" width="7.88671875" bestFit="1" customWidth="1"/>
    <col min="41" max="41" width="15.5546875" bestFit="1" customWidth="1"/>
    <col min="42" max="42" width="12.21875" bestFit="1" customWidth="1"/>
    <col min="43" max="43" width="6.21875" bestFit="1" customWidth="1"/>
    <col min="44" max="44" width="7.88671875" bestFit="1" customWidth="1"/>
  </cols>
  <sheetData>
    <row r="3" spans="1:20" x14ac:dyDescent="0.3">
      <c r="A3" s="3" t="s">
        <v>151</v>
      </c>
      <c r="B3" t="s">
        <v>143</v>
      </c>
      <c r="C3" t="s">
        <v>144</v>
      </c>
      <c r="D3" t="s">
        <v>145</v>
      </c>
      <c r="E3" t="s">
        <v>146</v>
      </c>
      <c r="F3" t="s">
        <v>147</v>
      </c>
      <c r="G3" t="s">
        <v>148</v>
      </c>
      <c r="H3" t="s">
        <v>149</v>
      </c>
      <c r="I3" t="s">
        <v>150</v>
      </c>
    </row>
    <row r="4" spans="1:20" x14ac:dyDescent="0.3">
      <c r="A4" s="4" t="s">
        <v>77</v>
      </c>
      <c r="B4">
        <v>40</v>
      </c>
      <c r="C4" s="7">
        <v>0.31481481481481483</v>
      </c>
      <c r="D4">
        <v>41</v>
      </c>
      <c r="E4" s="1">
        <v>0.35617367706919945</v>
      </c>
      <c r="F4" s="1">
        <v>57.92</v>
      </c>
      <c r="G4" s="1">
        <v>67.84260515603799</v>
      </c>
      <c r="H4">
        <v>24.6</v>
      </c>
      <c r="I4" s="1">
        <v>43.242605156037989</v>
      </c>
      <c r="L4" s="3" t="s">
        <v>151</v>
      </c>
      <c r="M4" t="s">
        <v>143</v>
      </c>
      <c r="N4" t="s">
        <v>144</v>
      </c>
      <c r="O4" t="s">
        <v>146</v>
      </c>
      <c r="P4" t="s">
        <v>147</v>
      </c>
      <c r="Q4" t="s">
        <v>148</v>
      </c>
      <c r="R4" t="s">
        <v>149</v>
      </c>
      <c r="S4" t="s">
        <v>150</v>
      </c>
      <c r="T4" t="s">
        <v>161</v>
      </c>
    </row>
    <row r="5" spans="1:20" x14ac:dyDescent="0.3">
      <c r="A5" s="4" t="s">
        <v>105</v>
      </c>
      <c r="B5">
        <v>29</v>
      </c>
      <c r="C5" s="7">
        <v>0.28260869565217389</v>
      </c>
      <c r="D5">
        <v>36</v>
      </c>
      <c r="E5" s="1">
        <v>0.48330404217926187</v>
      </c>
      <c r="F5" s="1">
        <v>67.900000000000006</v>
      </c>
      <c r="G5" s="1">
        <v>42.472173403632105</v>
      </c>
      <c r="H5">
        <v>10.4</v>
      </c>
      <c r="I5" s="1">
        <v>32.072173403632107</v>
      </c>
      <c r="L5" s="4" t="s">
        <v>39</v>
      </c>
      <c r="M5" s="8">
        <v>17</v>
      </c>
      <c r="N5" s="7">
        <v>0.2091842788283278</v>
      </c>
      <c r="O5" s="1">
        <v>0.50353178170359869</v>
      </c>
      <c r="P5" s="1">
        <v>60.088000000000001</v>
      </c>
      <c r="Q5" s="1">
        <v>28.067002279400562</v>
      </c>
      <c r="R5" s="8">
        <v>32.980000000000004</v>
      </c>
      <c r="S5" s="1">
        <v>-4.9129977205994368</v>
      </c>
      <c r="T5" s="8">
        <v>8.8000000000000007</v>
      </c>
    </row>
    <row r="6" spans="1:20" x14ac:dyDescent="0.3">
      <c r="A6" s="4" t="s">
        <v>31</v>
      </c>
      <c r="B6">
        <v>29</v>
      </c>
      <c r="C6" s="7">
        <v>0.24561403508771928</v>
      </c>
      <c r="D6">
        <v>34</v>
      </c>
      <c r="E6" s="1">
        <v>0.37901758641600974</v>
      </c>
      <c r="F6" s="1">
        <v>68.08</v>
      </c>
      <c r="G6" s="1">
        <v>43.966040024257133</v>
      </c>
      <c r="H6">
        <v>18.5</v>
      </c>
      <c r="I6" s="1">
        <v>25.466040024257133</v>
      </c>
      <c r="L6" s="9" t="s">
        <v>122</v>
      </c>
      <c r="M6" s="8">
        <v>17</v>
      </c>
      <c r="N6" s="7">
        <v>0.2091842788283278</v>
      </c>
      <c r="O6" s="1">
        <v>0.50353178170359869</v>
      </c>
      <c r="P6" s="1">
        <v>60.088000000000001</v>
      </c>
      <c r="Q6" s="1">
        <v>28.067002279400562</v>
      </c>
      <c r="R6" s="8">
        <v>32.980000000000004</v>
      </c>
      <c r="S6" s="1">
        <v>-4.9129977205994368</v>
      </c>
      <c r="T6" s="8">
        <v>8.8000000000000007</v>
      </c>
    </row>
    <row r="7" spans="1:20" x14ac:dyDescent="0.3">
      <c r="A7" s="4" t="s">
        <v>96</v>
      </c>
      <c r="B7">
        <v>22</v>
      </c>
      <c r="C7" s="7">
        <v>0.24324324324324326</v>
      </c>
      <c r="D7">
        <v>28</v>
      </c>
      <c r="E7" s="1">
        <v>0.42035398230088494</v>
      </c>
      <c r="F7" s="1">
        <v>43.040000000000006</v>
      </c>
      <c r="G7" s="1">
        <v>48.672566371681413</v>
      </c>
      <c r="H7">
        <v>17.100000000000001</v>
      </c>
      <c r="I7" s="1">
        <v>31.572566371681411</v>
      </c>
      <c r="L7" s="3" t="s">
        <v>151</v>
      </c>
      <c r="M7" t="s">
        <v>143</v>
      </c>
      <c r="N7" t="s">
        <v>144</v>
      </c>
      <c r="O7" t="s">
        <v>146</v>
      </c>
      <c r="P7" t="s">
        <v>147</v>
      </c>
      <c r="Q7" t="s">
        <v>148</v>
      </c>
      <c r="R7" t="s">
        <v>149</v>
      </c>
      <c r="S7" t="s">
        <v>150</v>
      </c>
      <c r="T7" t="s">
        <v>161</v>
      </c>
    </row>
    <row r="8" spans="1:20" x14ac:dyDescent="0.3">
      <c r="A8" s="4" t="s">
        <v>70</v>
      </c>
      <c r="B8">
        <v>28</v>
      </c>
      <c r="C8" s="7">
        <v>0.24</v>
      </c>
      <c r="D8">
        <v>29</v>
      </c>
      <c r="E8" s="1">
        <v>0.45662100456621008</v>
      </c>
      <c r="F8" s="1">
        <v>68.64</v>
      </c>
      <c r="G8" s="1">
        <v>39.954337899543383</v>
      </c>
      <c r="H8">
        <v>23.8</v>
      </c>
      <c r="I8" s="1">
        <v>16.154337899543382</v>
      </c>
      <c r="L8" s="4" t="s">
        <v>39</v>
      </c>
      <c r="M8" s="1">
        <v>11.333333333333334</v>
      </c>
      <c r="N8" s="7">
        <v>0.10427765226526836</v>
      </c>
      <c r="O8" s="1">
        <v>0.49862047091185008</v>
      </c>
      <c r="P8" s="1">
        <v>64.63333333333334</v>
      </c>
      <c r="Q8" s="1">
        <v>17.833012637490011</v>
      </c>
      <c r="R8" s="1">
        <v>51.433333333333337</v>
      </c>
      <c r="S8" s="1">
        <v>-33.600320695843322</v>
      </c>
      <c r="T8" s="8">
        <v>12</v>
      </c>
    </row>
    <row r="9" spans="1:20" x14ac:dyDescent="0.3">
      <c r="A9" s="4" t="s">
        <v>66</v>
      </c>
      <c r="B9">
        <v>40</v>
      </c>
      <c r="C9" s="7">
        <v>0.2289156626506024</v>
      </c>
      <c r="D9">
        <v>36</v>
      </c>
      <c r="E9" s="1">
        <v>0.14543339150668994</v>
      </c>
      <c r="F9" s="1">
        <v>68.48</v>
      </c>
      <c r="G9" s="1">
        <v>58.173356602675973</v>
      </c>
      <c r="H9">
        <v>22</v>
      </c>
      <c r="I9" s="1">
        <v>36.173356602675973</v>
      </c>
      <c r="L9" s="9" t="s">
        <v>126</v>
      </c>
      <c r="M9" s="1">
        <v>11.333333333333334</v>
      </c>
      <c r="N9" s="7">
        <v>0.10427765226526836</v>
      </c>
      <c r="O9" s="1">
        <v>0.49862047091185008</v>
      </c>
      <c r="P9" s="1">
        <v>64.63333333333334</v>
      </c>
      <c r="Q9" s="1">
        <v>17.833012637490011</v>
      </c>
      <c r="R9" s="1">
        <v>51.433333333333337</v>
      </c>
      <c r="S9" s="1">
        <v>-33.600320695843322</v>
      </c>
      <c r="T9" s="8">
        <v>12</v>
      </c>
    </row>
    <row r="10" spans="1:20" x14ac:dyDescent="0.3">
      <c r="A10" s="4" t="s">
        <v>39</v>
      </c>
      <c r="B10">
        <v>16</v>
      </c>
      <c r="C10" s="7">
        <v>0.18531987953818885</v>
      </c>
      <c r="D10">
        <v>27.5</v>
      </c>
      <c r="E10" s="1">
        <v>0.5184178554367268</v>
      </c>
      <c r="F10" s="1">
        <v>64.777999999999992</v>
      </c>
      <c r="G10" s="1">
        <v>24.63589498244944</v>
      </c>
      <c r="H10">
        <v>39.269999999999996</v>
      </c>
      <c r="I10" s="1">
        <v>-14.634105017550558</v>
      </c>
      <c r="L10" s="3" t="s">
        <v>151</v>
      </c>
      <c r="M10" t="s">
        <v>143</v>
      </c>
      <c r="N10" t="s">
        <v>144</v>
      </c>
      <c r="O10" t="s">
        <v>146</v>
      </c>
      <c r="P10" t="s">
        <v>147</v>
      </c>
      <c r="Q10" t="s">
        <v>148</v>
      </c>
      <c r="R10" t="s">
        <v>149</v>
      </c>
      <c r="S10" t="s">
        <v>150</v>
      </c>
      <c r="T10" t="s">
        <v>161</v>
      </c>
    </row>
    <row r="11" spans="1:20" x14ac:dyDescent="0.3">
      <c r="A11" s="4" t="s">
        <v>89</v>
      </c>
      <c r="B11">
        <v>9</v>
      </c>
      <c r="C11" s="7">
        <v>0.15384615384615385</v>
      </c>
      <c r="D11">
        <v>17</v>
      </c>
      <c r="E11" s="1">
        <v>0.6686236138290933</v>
      </c>
      <c r="F11" s="1">
        <v>62.42</v>
      </c>
      <c r="G11" s="1">
        <v>14.677103718199607</v>
      </c>
      <c r="H11">
        <v>53.5</v>
      </c>
      <c r="I11" s="1">
        <v>-38.822896281800396</v>
      </c>
      <c r="L11" s="4" t="s">
        <v>39</v>
      </c>
      <c r="M11" s="8">
        <v>20.5</v>
      </c>
      <c r="N11" s="7">
        <v>0.24722222222222223</v>
      </c>
      <c r="O11" s="1">
        <v>0.58532911655686237</v>
      </c>
      <c r="P11" s="1">
        <v>76.72</v>
      </c>
      <c r="Q11" s="1">
        <v>26.262450257510789</v>
      </c>
      <c r="R11" s="8">
        <v>36.75</v>
      </c>
      <c r="S11" s="1">
        <v>-10.487549742489213</v>
      </c>
      <c r="T11" s="8">
        <v>8.5</v>
      </c>
    </row>
    <row r="12" spans="1:20" x14ac:dyDescent="0.3">
      <c r="A12" s="4" t="s">
        <v>109</v>
      </c>
      <c r="B12">
        <v>19.5</v>
      </c>
      <c r="C12" s="7">
        <v>0.139122527847238</v>
      </c>
      <c r="D12">
        <v>42</v>
      </c>
      <c r="E12" s="1">
        <v>0.34803778293476256</v>
      </c>
      <c r="F12" s="1">
        <v>63.17</v>
      </c>
      <c r="G12" s="1">
        <v>30.780019383689453</v>
      </c>
      <c r="H12">
        <v>22.95</v>
      </c>
      <c r="I12" s="1">
        <v>7.8300193836894536</v>
      </c>
      <c r="L12" s="9" t="s">
        <v>129</v>
      </c>
      <c r="M12" s="8">
        <v>20.5</v>
      </c>
      <c r="N12" s="7">
        <v>0.24722222222222223</v>
      </c>
      <c r="O12" s="1">
        <v>0.58532911655686237</v>
      </c>
      <c r="P12" s="1">
        <v>76.72</v>
      </c>
      <c r="Q12" s="1">
        <v>26.262450257510789</v>
      </c>
      <c r="R12" s="8">
        <v>36.75</v>
      </c>
      <c r="S12" s="1">
        <v>-10.487549742489213</v>
      </c>
      <c r="T12" s="8">
        <v>8.5</v>
      </c>
    </row>
    <row r="13" spans="1:20" x14ac:dyDescent="0.3">
      <c r="A13" s="4" t="s">
        <v>58</v>
      </c>
      <c r="B13">
        <v>13</v>
      </c>
      <c r="C13" s="7">
        <v>0.10714285714285714</v>
      </c>
      <c r="D13">
        <v>27</v>
      </c>
      <c r="E13" s="1">
        <v>0.44832468145351578</v>
      </c>
      <c r="F13" s="1">
        <v>84.960000000000008</v>
      </c>
      <c r="G13" s="1">
        <v>15.337423312883436</v>
      </c>
      <c r="H13">
        <v>30.5</v>
      </c>
      <c r="I13" s="1">
        <v>-15.162576687116564</v>
      </c>
      <c r="L13" s="3" t="s">
        <v>151</v>
      </c>
      <c r="M13" t="s">
        <v>143</v>
      </c>
      <c r="N13" t="s">
        <v>144</v>
      </c>
      <c r="O13" t="s">
        <v>146</v>
      </c>
      <c r="P13" t="s">
        <v>147</v>
      </c>
      <c r="Q13" t="s">
        <v>148</v>
      </c>
      <c r="R13" t="s">
        <v>149</v>
      </c>
      <c r="S13" t="s">
        <v>150</v>
      </c>
      <c r="T13" t="s">
        <v>161</v>
      </c>
    </row>
    <row r="14" spans="1:20" x14ac:dyDescent="0.3">
      <c r="L14" s="4" t="s">
        <v>39</v>
      </c>
      <c r="M14">
        <v>16</v>
      </c>
      <c r="N14" s="7">
        <v>0.18531987953818885</v>
      </c>
      <c r="O14" s="1">
        <v>0.51841785543672692</v>
      </c>
      <c r="P14" s="1">
        <v>64.777999999999992</v>
      </c>
      <c r="Q14" s="1">
        <v>24.635894982449443</v>
      </c>
      <c r="R14">
        <v>39.269999999999996</v>
      </c>
      <c r="S14" s="1">
        <v>-14.634105017550558</v>
      </c>
      <c r="T14">
        <v>9.6999999999999993</v>
      </c>
    </row>
    <row r="16" spans="1:20" x14ac:dyDescent="0.3">
      <c r="A16" s="2" t="s">
        <v>151</v>
      </c>
      <c r="B16" s="2" t="s">
        <v>152</v>
      </c>
      <c r="C16" s="2" t="s">
        <v>153</v>
      </c>
      <c r="D16" s="2" t="s">
        <v>154</v>
      </c>
      <c r="E16" s="2" t="s">
        <v>155</v>
      </c>
      <c r="F16" s="2" t="s">
        <v>156</v>
      </c>
      <c r="G16" s="2" t="s">
        <v>157</v>
      </c>
      <c r="H16" s="2" t="s">
        <v>158</v>
      </c>
      <c r="I16" s="2" t="s">
        <v>159</v>
      </c>
      <c r="J16" s="5" t="s">
        <v>160</v>
      </c>
    </row>
    <row r="17" spans="1:15" x14ac:dyDescent="0.3">
      <c r="A17" s="4" t="s">
        <v>66</v>
      </c>
      <c r="B17">
        <v>1</v>
      </c>
      <c r="C17">
        <v>6</v>
      </c>
      <c r="D17">
        <v>4</v>
      </c>
      <c r="E17">
        <v>1</v>
      </c>
      <c r="F17">
        <v>3</v>
      </c>
      <c r="G17">
        <v>2</v>
      </c>
      <c r="H17">
        <v>4</v>
      </c>
      <c r="I17">
        <v>2</v>
      </c>
      <c r="J17">
        <f t="shared" ref="J17:J26" si="0">SUM(B17:I17)</f>
        <v>23</v>
      </c>
      <c r="L17" s="3" t="s">
        <v>163</v>
      </c>
      <c r="M17" s="3" t="s">
        <v>162</v>
      </c>
    </row>
    <row r="18" spans="1:15" x14ac:dyDescent="0.3">
      <c r="A18" s="4" t="s">
        <v>77</v>
      </c>
      <c r="B18">
        <v>1</v>
      </c>
      <c r="C18">
        <v>1</v>
      </c>
      <c r="D18">
        <v>2</v>
      </c>
      <c r="E18">
        <v>3</v>
      </c>
      <c r="F18">
        <v>9</v>
      </c>
      <c r="G18">
        <v>1</v>
      </c>
      <c r="H18">
        <v>7</v>
      </c>
      <c r="I18">
        <v>1</v>
      </c>
      <c r="J18">
        <f t="shared" si="0"/>
        <v>25</v>
      </c>
      <c r="L18" s="3" t="s">
        <v>151</v>
      </c>
      <c r="M18" t="s">
        <v>122</v>
      </c>
      <c r="N18" t="s">
        <v>126</v>
      </c>
      <c r="O18" t="s">
        <v>129</v>
      </c>
    </row>
    <row r="19" spans="1:15" x14ac:dyDescent="0.3">
      <c r="A19" s="4" t="s">
        <v>105</v>
      </c>
      <c r="B19">
        <v>3</v>
      </c>
      <c r="C19">
        <v>2</v>
      </c>
      <c r="D19">
        <v>3</v>
      </c>
      <c r="E19">
        <v>8</v>
      </c>
      <c r="F19">
        <v>5</v>
      </c>
      <c r="G19">
        <v>5</v>
      </c>
      <c r="H19">
        <v>1</v>
      </c>
      <c r="I19">
        <v>3</v>
      </c>
      <c r="J19">
        <f t="shared" si="0"/>
        <v>30</v>
      </c>
      <c r="L19" s="4" t="s">
        <v>39</v>
      </c>
      <c r="M19">
        <v>5</v>
      </c>
      <c r="N19">
        <v>3</v>
      </c>
      <c r="O19">
        <v>2</v>
      </c>
    </row>
    <row r="20" spans="1:15" x14ac:dyDescent="0.3">
      <c r="A20" s="4" t="s">
        <v>31</v>
      </c>
      <c r="B20">
        <v>3</v>
      </c>
      <c r="C20">
        <v>3</v>
      </c>
      <c r="D20">
        <v>5</v>
      </c>
      <c r="E20">
        <v>4</v>
      </c>
      <c r="F20">
        <v>4</v>
      </c>
      <c r="G20">
        <v>4</v>
      </c>
      <c r="H20">
        <v>3</v>
      </c>
      <c r="I20">
        <v>5</v>
      </c>
      <c r="J20">
        <f t="shared" si="0"/>
        <v>31</v>
      </c>
    </row>
    <row r="21" spans="1:15" x14ac:dyDescent="0.3">
      <c r="A21" s="4" t="s">
        <v>96</v>
      </c>
      <c r="B21">
        <v>6</v>
      </c>
      <c r="C21">
        <v>4</v>
      </c>
      <c r="D21">
        <v>7</v>
      </c>
      <c r="E21">
        <v>5</v>
      </c>
      <c r="F21">
        <v>10</v>
      </c>
      <c r="G21">
        <v>3</v>
      </c>
      <c r="H21">
        <v>2</v>
      </c>
      <c r="I21">
        <v>4</v>
      </c>
      <c r="J21">
        <f t="shared" si="0"/>
        <v>41</v>
      </c>
    </row>
    <row r="22" spans="1:15" x14ac:dyDescent="0.3">
      <c r="A22" s="4" t="s">
        <v>70</v>
      </c>
      <c r="B22">
        <v>5</v>
      </c>
      <c r="C22">
        <v>5</v>
      </c>
      <c r="D22">
        <v>6</v>
      </c>
      <c r="E22">
        <v>7</v>
      </c>
      <c r="F22">
        <v>2</v>
      </c>
      <c r="G22">
        <v>6</v>
      </c>
      <c r="H22">
        <v>6</v>
      </c>
      <c r="I22">
        <v>6</v>
      </c>
      <c r="J22">
        <f t="shared" si="0"/>
        <v>43</v>
      </c>
    </row>
    <row r="23" spans="1:15" x14ac:dyDescent="0.3">
      <c r="A23" s="4" t="s">
        <v>109</v>
      </c>
      <c r="B23">
        <v>7</v>
      </c>
      <c r="C23">
        <v>9</v>
      </c>
      <c r="D23">
        <v>1</v>
      </c>
      <c r="E23">
        <v>2</v>
      </c>
      <c r="F23">
        <v>7</v>
      </c>
      <c r="G23">
        <v>7</v>
      </c>
      <c r="H23">
        <v>5</v>
      </c>
      <c r="I23">
        <v>7</v>
      </c>
      <c r="J23">
        <f t="shared" si="0"/>
        <v>45</v>
      </c>
    </row>
    <row r="24" spans="1:15" x14ac:dyDescent="0.3">
      <c r="A24" s="4" t="s">
        <v>58</v>
      </c>
      <c r="B24">
        <v>9</v>
      </c>
      <c r="C24">
        <v>10</v>
      </c>
      <c r="D24">
        <v>9</v>
      </c>
      <c r="E24">
        <v>6</v>
      </c>
      <c r="F24">
        <v>1</v>
      </c>
      <c r="G24">
        <v>9</v>
      </c>
      <c r="H24">
        <v>8</v>
      </c>
      <c r="I24">
        <v>9</v>
      </c>
      <c r="J24">
        <f t="shared" si="0"/>
        <v>61</v>
      </c>
    </row>
    <row r="25" spans="1:15" x14ac:dyDescent="0.3">
      <c r="A25" s="4" t="s">
        <v>39</v>
      </c>
      <c r="B25">
        <v>8</v>
      </c>
      <c r="C25">
        <v>7</v>
      </c>
      <c r="D25">
        <v>8</v>
      </c>
      <c r="E25">
        <v>9</v>
      </c>
      <c r="F25">
        <v>6</v>
      </c>
      <c r="G25">
        <v>8</v>
      </c>
      <c r="H25">
        <v>9</v>
      </c>
      <c r="I25">
        <v>8</v>
      </c>
      <c r="J25">
        <f t="shared" si="0"/>
        <v>63</v>
      </c>
    </row>
    <row r="26" spans="1:15" x14ac:dyDescent="0.3">
      <c r="A26" s="4" t="s">
        <v>89</v>
      </c>
      <c r="B26">
        <v>10</v>
      </c>
      <c r="C26">
        <v>8</v>
      </c>
      <c r="D26">
        <v>10</v>
      </c>
      <c r="E26">
        <v>10</v>
      </c>
      <c r="F26">
        <v>8</v>
      </c>
      <c r="G26">
        <v>10</v>
      </c>
      <c r="H26">
        <v>10</v>
      </c>
      <c r="I26">
        <v>10</v>
      </c>
      <c r="J26">
        <f t="shared" si="0"/>
        <v>76</v>
      </c>
    </row>
  </sheetData>
  <pageMargins left="0.511811024" right="0.511811024" top="0.78740157499999996" bottom="0.78740157499999996" header="0.31496062000000002" footer="0.31496062000000002"/>
  <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56504-3A12-42C6-A7A2-169BCF6AE739}">
  <dimension ref="A1:AC21"/>
  <sheetViews>
    <sheetView workbookViewId="0">
      <selection activeCell="A2" sqref="A2"/>
    </sheetView>
  </sheetViews>
  <sheetFormatPr defaultRowHeight="14.4" x14ac:dyDescent="0.3"/>
  <cols>
    <col min="1" max="1" width="12.88671875" bestFit="1" customWidth="1"/>
    <col min="2" max="2" width="12.33203125" bestFit="1" customWidth="1"/>
    <col min="3" max="3" width="9.88671875" bestFit="1" customWidth="1"/>
    <col min="4" max="4" width="6.33203125" bestFit="1" customWidth="1"/>
    <col min="5" max="5" width="5.5546875" bestFit="1" customWidth="1"/>
    <col min="6" max="6" width="6.6640625" bestFit="1" customWidth="1"/>
    <col min="7" max="7" width="7.109375" bestFit="1" customWidth="1"/>
    <col min="8" max="8" width="5.33203125" bestFit="1" customWidth="1"/>
    <col min="9" max="9" width="6.44140625" bestFit="1" customWidth="1"/>
    <col min="10" max="10" width="6.88671875" bestFit="1" customWidth="1"/>
    <col min="11" max="11" width="5.33203125" bestFit="1" customWidth="1"/>
    <col min="12" max="12" width="6.44140625" bestFit="1" customWidth="1"/>
    <col min="13" max="13" width="6.88671875" bestFit="1" customWidth="1"/>
    <col min="14" max="14" width="5.109375" bestFit="1" customWidth="1"/>
    <col min="15" max="15" width="6.21875" bestFit="1" customWidth="1"/>
    <col min="16" max="16" width="6.6640625" bestFit="1" customWidth="1"/>
    <col min="17" max="17" width="6.44140625" bestFit="1" customWidth="1"/>
    <col min="18" max="18" width="5.6640625" bestFit="1" customWidth="1"/>
    <col min="19" max="19" width="5.5546875" bestFit="1" customWidth="1"/>
    <col min="20" max="20" width="6.33203125" bestFit="1" customWidth="1"/>
    <col min="21" max="21" width="6.109375" bestFit="1" customWidth="1"/>
    <col min="22" max="22" width="5.44140625" bestFit="1" customWidth="1"/>
    <col min="23" max="23" width="6.88671875" bestFit="1" customWidth="1"/>
    <col min="24" max="24" width="8.77734375" bestFit="1" customWidth="1"/>
    <col min="25" max="25" width="6.6640625" bestFit="1" customWidth="1"/>
    <col min="26" max="26" width="8" bestFit="1" customWidth="1"/>
    <col min="27" max="27" width="5.6640625" bestFit="1" customWidth="1"/>
    <col min="28" max="28" width="5.5546875" bestFit="1" customWidth="1"/>
    <col min="29" max="29" width="6.33203125" bestFit="1" customWidth="1"/>
    <col min="30" max="30" width="6.109375" bestFit="1" customWidth="1"/>
    <col min="31" max="31" width="6.33203125" bestFit="1" customWidth="1"/>
    <col min="32" max="32" width="7.44140625" bestFit="1" customWidth="1"/>
    <col min="33" max="33" width="6.44140625" bestFit="1" customWidth="1"/>
    <col min="34" max="34" width="5.44140625" bestFit="1" customWidth="1"/>
    <col min="35" max="35" width="6.5546875" bestFit="1" customWidth="1"/>
    <col min="36" max="36" width="6.6640625" bestFit="1" customWidth="1"/>
    <col min="37" max="37" width="6.21875" bestFit="1" customWidth="1"/>
    <col min="38" max="38" width="6" bestFit="1" customWidth="1"/>
    <col min="39" max="39" width="6.21875" bestFit="1" customWidth="1"/>
    <col min="40" max="40" width="5.33203125" bestFit="1" customWidth="1"/>
    <col min="41" max="41" width="6.44140625" bestFit="1" customWidth="1"/>
    <col min="42" max="42" width="4.44140625" bestFit="1" customWidth="1"/>
    <col min="43" max="43" width="6.21875" bestFit="1" customWidth="1"/>
    <col min="44" max="44" width="6.77734375" bestFit="1" customWidth="1"/>
  </cols>
  <sheetData>
    <row r="1" spans="1:29" x14ac:dyDescent="0.3">
      <c r="A1" t="s">
        <v>0</v>
      </c>
      <c r="B1" t="s">
        <v>110</v>
      </c>
      <c r="C1" t="s">
        <v>111</v>
      </c>
      <c r="D1" t="s">
        <v>5</v>
      </c>
      <c r="E1" t="s">
        <v>112</v>
      </c>
      <c r="F1" t="s">
        <v>113</v>
      </c>
      <c r="G1" t="s">
        <v>8</v>
      </c>
      <c r="H1" t="s">
        <v>114</v>
      </c>
      <c r="I1" t="s">
        <v>115</v>
      </c>
      <c r="J1" t="s">
        <v>10</v>
      </c>
      <c r="K1" t="s">
        <v>116</v>
      </c>
      <c r="L1" t="s">
        <v>117</v>
      </c>
      <c r="M1" t="s">
        <v>12</v>
      </c>
      <c r="N1" t="s">
        <v>118</v>
      </c>
      <c r="O1" t="s">
        <v>119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23</v>
      </c>
      <c r="W1" t="s">
        <v>136</v>
      </c>
      <c r="X1" t="s">
        <v>137</v>
      </c>
      <c r="Y1" t="s">
        <v>138</v>
      </c>
      <c r="Z1" t="s">
        <v>139</v>
      </c>
      <c r="AA1" t="s">
        <v>140</v>
      </c>
      <c r="AB1" t="s">
        <v>141</v>
      </c>
      <c r="AC1" t="s">
        <v>142</v>
      </c>
    </row>
    <row r="2" spans="1:29" x14ac:dyDescent="0.3">
      <c r="A2" t="s">
        <v>109</v>
      </c>
      <c r="B2" t="s">
        <v>39</v>
      </c>
      <c r="C2" t="s">
        <v>120</v>
      </c>
      <c r="D2">
        <v>19</v>
      </c>
      <c r="E2">
        <v>9</v>
      </c>
      <c r="F2">
        <v>83</v>
      </c>
      <c r="G2" s="6">
        <f>Vs_Cesta_de_ouro_2[[#This Row],[FG]]/Vs_Cesta_de_ouro_2[[#This Row],[FGA]]</f>
        <v>0.10843373493975904</v>
      </c>
      <c r="H2">
        <v>8</v>
      </c>
      <c r="I2">
        <v>73</v>
      </c>
      <c r="J2">
        <v>110</v>
      </c>
      <c r="K2">
        <v>1</v>
      </c>
      <c r="L2">
        <v>10</v>
      </c>
      <c r="M2">
        <v>100</v>
      </c>
      <c r="N2">
        <v>0</v>
      </c>
      <c r="O2" t="s">
        <v>121</v>
      </c>
      <c r="P2" s="6">
        <f>Vs_Cesta_de_ouro_2[[#This Row],[FT]]/Vs_Cesta_de_ouro_2[[#This Row],[FTA]]</f>
        <v>0</v>
      </c>
      <c r="Q2">
        <v>46</v>
      </c>
      <c r="R2">
        <v>35</v>
      </c>
      <c r="S2">
        <v>11</v>
      </c>
      <c r="T2">
        <v>0</v>
      </c>
      <c r="U2">
        <v>28</v>
      </c>
      <c r="V2">
        <v>21</v>
      </c>
      <c r="W2">
        <f>Vs_Cesta_de_ouro_2[[#This Row],[FGA]]+Vs_Cesta_de_ouro_2[[#This Row],[TO]]-Vs_Cesta_de_ouro_2[[#This Row],[OR]]+(0.44*Vs_Cesta_de_ouro_2[[#This Row],[FTA]])</f>
        <v>71.64</v>
      </c>
      <c r="X2" s="1">
        <f>Vs_Cesta_de_ouro_2[[#This Row],[TO]]/Vs_Cesta_de_ouro_2[[#This Row],[POSSE]]</f>
        <v>0.29313232830820768</v>
      </c>
      <c r="Y2">
        <f>(Vs_Cesta_de_ouro_2[[#This Row],[PTS]]/Vs_Cesta_de_ouro_2[[#This Row],[POSSE]])*100</f>
        <v>26.521496370742604</v>
      </c>
      <c r="Z2">
        <f>(160*(Vs_Cesta_de_ouro_2[[#This Row],[POSSE]]+W3))/(2*160)</f>
        <v>69.7</v>
      </c>
      <c r="AA2">
        <f>Vs_Cesta_de_ouro_2[[#This Row],[PTS/100]]</f>
        <v>26.521496370742604</v>
      </c>
      <c r="AB2">
        <v>19.2</v>
      </c>
      <c r="AC2" s="1">
        <f>Vs_Cesta_de_ouro_2[[#This Row],[OFFRTG]]-Vs_Cesta_de_ouro_2[[#This Row],[DEFRTG]]</f>
        <v>7.3214963707426044</v>
      </c>
    </row>
    <row r="3" spans="1:29" x14ac:dyDescent="0.3">
      <c r="A3" t="s">
        <v>39</v>
      </c>
      <c r="B3" t="s">
        <v>109</v>
      </c>
      <c r="C3" t="s">
        <v>122</v>
      </c>
      <c r="D3">
        <v>13</v>
      </c>
      <c r="E3">
        <v>6</v>
      </c>
      <c r="F3">
        <v>36</v>
      </c>
      <c r="G3" s="6">
        <f>Vs_Cesta_de_ouro_2[[#This Row],[FG]]/Vs_Cesta_de_ouro_2[[#This Row],[FGA]]</f>
        <v>0.16666666666666666</v>
      </c>
      <c r="H3">
        <v>6</v>
      </c>
      <c r="I3">
        <v>30</v>
      </c>
      <c r="J3">
        <v>200</v>
      </c>
      <c r="K3">
        <v>0</v>
      </c>
      <c r="L3">
        <v>6</v>
      </c>
      <c r="M3">
        <v>0</v>
      </c>
      <c r="N3">
        <v>1</v>
      </c>
      <c r="O3" t="s">
        <v>123</v>
      </c>
      <c r="P3" s="6">
        <f>Vs_Cesta_de_ouro_2[[#This Row],[FT]]/Vs_Cesta_de_ouro_2[[#This Row],[FTA]]</f>
        <v>0.25</v>
      </c>
      <c r="Q3">
        <v>37</v>
      </c>
      <c r="R3">
        <v>10</v>
      </c>
      <c r="S3">
        <v>27</v>
      </c>
      <c r="T3">
        <v>0</v>
      </c>
      <c r="U3">
        <v>12</v>
      </c>
      <c r="V3">
        <v>40</v>
      </c>
      <c r="W3">
        <f>Vs_Cesta_de_ouro_2[[#This Row],[FGA]]+Vs_Cesta_de_ouro_2[[#This Row],[TO]]-Vs_Cesta_de_ouro_2[[#This Row],[OR]]+(0.44*Vs_Cesta_de_ouro_2[[#This Row],[FTA]])</f>
        <v>67.760000000000005</v>
      </c>
      <c r="X3" s="1">
        <f>Vs_Cesta_de_ouro_2[[#This Row],[TO]]/Vs_Cesta_de_ouro_2[[#This Row],[POSSE]]</f>
        <v>0.59031877213695394</v>
      </c>
      <c r="Y3">
        <f>(Vs_Cesta_de_ouro_2[[#This Row],[PTS]]/Vs_Cesta_de_ouro_2[[#This Row],[POSSE]])*100</f>
        <v>19.185360094451003</v>
      </c>
      <c r="Z3">
        <f>Z2</f>
        <v>69.7</v>
      </c>
      <c r="AA3">
        <f>Vs_Cesta_de_ouro_2[[#This Row],[PTS/100]]</f>
        <v>19.185360094451003</v>
      </c>
      <c r="AB3">
        <v>26.5</v>
      </c>
      <c r="AC3" s="1">
        <f>Vs_Cesta_de_ouro_2[[#This Row],[OFFRTG]]-Vs_Cesta_de_ouro_2[[#This Row],[DEFRTG]]</f>
        <v>-7.3146399055489972</v>
      </c>
    </row>
    <row r="4" spans="1:29" x14ac:dyDescent="0.3">
      <c r="A4" t="s">
        <v>31</v>
      </c>
      <c r="B4" t="s">
        <v>39</v>
      </c>
      <c r="C4" t="s">
        <v>120</v>
      </c>
      <c r="D4">
        <v>29</v>
      </c>
      <c r="E4">
        <v>14</v>
      </c>
      <c r="F4">
        <v>57</v>
      </c>
      <c r="G4" s="6">
        <f>Vs_Cesta_de_ouro_2[[#This Row],[FG]]/Vs_Cesta_de_ouro_2[[#This Row],[FGA]]</f>
        <v>0.24561403508771928</v>
      </c>
      <c r="H4">
        <v>14</v>
      </c>
      <c r="I4">
        <v>53</v>
      </c>
      <c r="J4">
        <v>264</v>
      </c>
      <c r="K4">
        <v>0</v>
      </c>
      <c r="L4">
        <v>4</v>
      </c>
      <c r="M4">
        <v>0</v>
      </c>
      <c r="N4">
        <v>1</v>
      </c>
      <c r="O4" t="s">
        <v>124</v>
      </c>
      <c r="P4" s="6">
        <f>Vs_Cesta_de_ouro_2[[#This Row],[FT]]/Vs_Cesta_de_ouro_2[[#This Row],[FTA]]</f>
        <v>0.1111111111111111</v>
      </c>
      <c r="Q4">
        <v>34</v>
      </c>
      <c r="R4">
        <v>20</v>
      </c>
      <c r="S4">
        <v>14</v>
      </c>
      <c r="T4">
        <v>0</v>
      </c>
      <c r="U4">
        <v>0</v>
      </c>
      <c r="V4">
        <v>25</v>
      </c>
      <c r="W4">
        <f>Vs_Cesta_de_ouro_2[[#This Row],[FGA]]+Vs_Cesta_de_ouro_2[[#This Row],[TO]]-Vs_Cesta_de_ouro_2[[#This Row],[OR]]+(0.44*Vs_Cesta_de_ouro_2[[#This Row],[FTA]])</f>
        <v>65.959999999999994</v>
      </c>
      <c r="X4" s="1">
        <f>Vs_Cesta_de_ouro_2[[#This Row],[TO]]/Vs_Cesta_de_ouro_2[[#This Row],[POSSE]]</f>
        <v>0.37901758641600974</v>
      </c>
      <c r="Y4">
        <f>(Vs_Cesta_de_ouro_2[[#This Row],[PTS]]/Vs_Cesta_de_ouro_2[[#This Row],[POSSE]])*100</f>
        <v>43.966040024257133</v>
      </c>
      <c r="Z4">
        <f>(160*(Vs_Cesta_de_ouro_2[[#This Row],[POSSE]]+W5))/(2*160)</f>
        <v>68.08</v>
      </c>
      <c r="AA4">
        <f>Vs_Cesta_de_ouro_2[[#This Row],[PTS/100]]</f>
        <v>43.966040024257133</v>
      </c>
      <c r="AB4">
        <v>18.5</v>
      </c>
      <c r="AC4" s="1">
        <f>Vs_Cesta_de_ouro_2[[#This Row],[OFFRTG]]-Vs_Cesta_de_ouro_2[[#This Row],[DEFRTG]]</f>
        <v>25.466040024257133</v>
      </c>
    </row>
    <row r="5" spans="1:29" x14ac:dyDescent="0.3">
      <c r="A5" t="s">
        <v>39</v>
      </c>
      <c r="B5" t="s">
        <v>125</v>
      </c>
      <c r="C5" t="s">
        <v>126</v>
      </c>
      <c r="D5">
        <v>13</v>
      </c>
      <c r="E5">
        <v>6</v>
      </c>
      <c r="F5">
        <v>37</v>
      </c>
      <c r="G5" s="6">
        <f>Vs_Cesta_de_ouro_2[[#This Row],[FG]]/Vs_Cesta_de_ouro_2[[#This Row],[FGA]]</f>
        <v>0.16216216216216217</v>
      </c>
      <c r="H5">
        <v>5</v>
      </c>
      <c r="I5">
        <v>24</v>
      </c>
      <c r="J5">
        <v>208</v>
      </c>
      <c r="K5">
        <v>1</v>
      </c>
      <c r="L5">
        <v>13</v>
      </c>
      <c r="M5">
        <v>77</v>
      </c>
      <c r="N5">
        <v>0</v>
      </c>
      <c r="O5" t="s">
        <v>127</v>
      </c>
      <c r="P5" s="6">
        <f>Vs_Cesta_de_ouro_2[[#This Row],[FT]]/Vs_Cesta_de_ouro_2[[#This Row],[FTA]]</f>
        <v>0</v>
      </c>
      <c r="Q5">
        <v>30</v>
      </c>
      <c r="R5">
        <v>8</v>
      </c>
      <c r="S5">
        <v>22</v>
      </c>
      <c r="T5">
        <v>2</v>
      </c>
      <c r="U5">
        <v>6</v>
      </c>
      <c r="V5">
        <v>39</v>
      </c>
      <c r="W5">
        <f>Vs_Cesta_de_ouro_2[[#This Row],[FGA]]+Vs_Cesta_de_ouro_2[[#This Row],[TO]]-Vs_Cesta_de_ouro_2[[#This Row],[OR]]+(0.44*Vs_Cesta_de_ouro_2[[#This Row],[FTA]])</f>
        <v>70.2</v>
      </c>
      <c r="X5" s="1">
        <f>Vs_Cesta_de_ouro_2[[#This Row],[TO]]/Vs_Cesta_de_ouro_2[[#This Row],[POSSE]]</f>
        <v>0.55555555555555558</v>
      </c>
      <c r="Y5">
        <f>(Vs_Cesta_de_ouro_2[[#This Row],[PTS]]/Vs_Cesta_de_ouro_2[[#This Row],[POSSE]])*100</f>
        <v>18.518518518518519</v>
      </c>
      <c r="Z5">
        <f>Z4</f>
        <v>68.08</v>
      </c>
      <c r="AA5">
        <f>Vs_Cesta_de_ouro_2[[#This Row],[PTS/100]]</f>
        <v>18.518518518518519</v>
      </c>
      <c r="AB5">
        <v>44</v>
      </c>
      <c r="AC5" s="1">
        <f>Vs_Cesta_de_ouro_2[[#This Row],[OFFRTG]]-Vs_Cesta_de_ouro_2[[#This Row],[DEFRTG]]</f>
        <v>-25.481481481481481</v>
      </c>
    </row>
    <row r="6" spans="1:29" x14ac:dyDescent="0.3">
      <c r="A6" t="s">
        <v>39</v>
      </c>
      <c r="B6" t="s">
        <v>109</v>
      </c>
      <c r="C6" t="s">
        <v>122</v>
      </c>
      <c r="D6">
        <v>15</v>
      </c>
      <c r="E6">
        <v>7</v>
      </c>
      <c r="F6">
        <v>36</v>
      </c>
      <c r="G6" s="6">
        <f>Vs_Cesta_de_ouro_2[[#This Row],[FG]]/Vs_Cesta_de_ouro_2[[#This Row],[FGA]]</f>
        <v>0.19444444444444445</v>
      </c>
      <c r="H6">
        <v>7</v>
      </c>
      <c r="I6">
        <v>25</v>
      </c>
      <c r="J6">
        <v>280</v>
      </c>
      <c r="K6">
        <v>0</v>
      </c>
      <c r="L6">
        <v>11</v>
      </c>
      <c r="M6">
        <v>0</v>
      </c>
      <c r="N6">
        <v>1</v>
      </c>
      <c r="O6" t="s">
        <v>127</v>
      </c>
      <c r="P6" s="6">
        <f>Vs_Cesta_de_ouro_2[[#This Row],[FT]]/Vs_Cesta_de_ouro_2[[#This Row],[FTA]]</f>
        <v>0.2</v>
      </c>
      <c r="Q6">
        <v>18</v>
      </c>
      <c r="R6">
        <v>4</v>
      </c>
      <c r="S6">
        <v>14</v>
      </c>
      <c r="T6">
        <v>5</v>
      </c>
      <c r="U6">
        <v>9</v>
      </c>
      <c r="V6">
        <v>22</v>
      </c>
      <c r="W6">
        <f>Vs_Cesta_de_ouro_2[[#This Row],[FGA]]+Vs_Cesta_de_ouro_2[[#This Row],[TO]]-Vs_Cesta_de_ouro_2[[#This Row],[OR]]+(0.44*Vs_Cesta_de_ouro_2[[#This Row],[FTA]])</f>
        <v>56.2</v>
      </c>
      <c r="X6" s="1">
        <f>Vs_Cesta_de_ouro_2[[#This Row],[TO]]/Vs_Cesta_de_ouro_2[[#This Row],[POSSE]]</f>
        <v>0.39145907473309605</v>
      </c>
      <c r="Y6">
        <f>(Vs_Cesta_de_ouro_2[[#This Row],[PTS]]/Vs_Cesta_de_ouro_2[[#This Row],[POSSE]])*100</f>
        <v>26.690391459074732</v>
      </c>
      <c r="Z6">
        <f>(160*(Vs_Cesta_de_ouro_2[[#This Row],[POSSE]]+W7))/(2*160)</f>
        <v>56.64</v>
      </c>
      <c r="AA6">
        <f>Vs_Cesta_de_ouro_2[[#This Row],[PTS/100]]</f>
        <v>26.690391459074732</v>
      </c>
      <c r="AB6">
        <v>35</v>
      </c>
      <c r="AC6" s="1">
        <f>Vs_Cesta_de_ouro_2[[#This Row],[OFFRTG]]-Vs_Cesta_de_ouro_2[[#This Row],[DEFRTG]]</f>
        <v>-8.309608540925268</v>
      </c>
    </row>
    <row r="7" spans="1:29" x14ac:dyDescent="0.3">
      <c r="A7" t="s">
        <v>109</v>
      </c>
      <c r="B7" t="s">
        <v>39</v>
      </c>
      <c r="C7" t="s">
        <v>120</v>
      </c>
      <c r="D7">
        <v>20</v>
      </c>
      <c r="E7">
        <v>9</v>
      </c>
      <c r="F7">
        <v>53</v>
      </c>
      <c r="G7" s="6">
        <f>Vs_Cesta_de_ouro_2[[#This Row],[FG]]/Vs_Cesta_de_ouro_2[[#This Row],[FGA]]</f>
        <v>0.16981132075471697</v>
      </c>
      <c r="H7">
        <v>9</v>
      </c>
      <c r="I7">
        <v>39</v>
      </c>
      <c r="J7">
        <v>231</v>
      </c>
      <c r="K7">
        <v>0</v>
      </c>
      <c r="L7">
        <v>14</v>
      </c>
      <c r="M7">
        <v>0</v>
      </c>
      <c r="N7">
        <v>2</v>
      </c>
      <c r="O7" t="s">
        <v>128</v>
      </c>
      <c r="P7" s="6">
        <f>Vs_Cesta_de_ouro_2[[#This Row],[FT]]/Vs_Cesta_de_ouro_2[[#This Row],[FTA]]</f>
        <v>0.2857142857142857</v>
      </c>
      <c r="Q7">
        <v>38</v>
      </c>
      <c r="R7">
        <v>22</v>
      </c>
      <c r="S7">
        <v>16</v>
      </c>
      <c r="T7">
        <v>0</v>
      </c>
      <c r="U7">
        <v>0</v>
      </c>
      <c r="V7">
        <v>23</v>
      </c>
      <c r="W7">
        <f>Vs_Cesta_de_ouro_2[[#This Row],[FGA]]+Vs_Cesta_de_ouro_2[[#This Row],[TO]]-Vs_Cesta_de_ouro_2[[#This Row],[OR]]+(0.44*Vs_Cesta_de_ouro_2[[#This Row],[FTA]])</f>
        <v>57.08</v>
      </c>
      <c r="X7" s="1">
        <f>Vs_Cesta_de_ouro_2[[#This Row],[TO]]/Vs_Cesta_de_ouro_2[[#This Row],[POSSE]]</f>
        <v>0.40294323756131745</v>
      </c>
      <c r="Y7">
        <f>(Vs_Cesta_de_ouro_2[[#This Row],[PTS]]/Vs_Cesta_de_ouro_2[[#This Row],[POSSE]])*100</f>
        <v>35.038542396636302</v>
      </c>
      <c r="Z7">
        <f>Z6</f>
        <v>56.64</v>
      </c>
      <c r="AA7">
        <f>Vs_Cesta_de_ouro_2[[#This Row],[PTS/100]]</f>
        <v>35.038542396636302</v>
      </c>
      <c r="AB7">
        <v>26.7</v>
      </c>
      <c r="AC7" s="1">
        <f>Vs_Cesta_de_ouro_2[[#This Row],[OFFRTG]]-Vs_Cesta_de_ouro_2[[#This Row],[DEFRTG]]</f>
        <v>8.3385423966363028</v>
      </c>
    </row>
    <row r="8" spans="1:29" x14ac:dyDescent="0.3">
      <c r="A8" t="s">
        <v>39</v>
      </c>
      <c r="B8" t="s">
        <v>58</v>
      </c>
      <c r="C8" t="s">
        <v>129</v>
      </c>
      <c r="D8">
        <v>26</v>
      </c>
      <c r="E8">
        <v>11</v>
      </c>
      <c r="F8">
        <v>45</v>
      </c>
      <c r="G8" s="6">
        <f>Vs_Cesta_de_ouro_2[[#This Row],[FG]]/Vs_Cesta_de_ouro_2[[#This Row],[FGA]]</f>
        <v>0.24444444444444444</v>
      </c>
      <c r="H8">
        <v>9</v>
      </c>
      <c r="I8">
        <v>35</v>
      </c>
      <c r="J8">
        <v>257</v>
      </c>
      <c r="K8">
        <v>2</v>
      </c>
      <c r="L8">
        <v>10</v>
      </c>
      <c r="M8">
        <v>200</v>
      </c>
      <c r="N8">
        <v>2</v>
      </c>
      <c r="O8" t="s">
        <v>130</v>
      </c>
      <c r="P8" s="6">
        <f>Vs_Cesta_de_ouro_2[[#This Row],[FT]]/Vs_Cesta_de_ouro_2[[#This Row],[FTA]]</f>
        <v>0.14285714285714285</v>
      </c>
      <c r="Q8">
        <v>39</v>
      </c>
      <c r="R8">
        <v>12</v>
      </c>
      <c r="S8">
        <v>27</v>
      </c>
      <c r="T8">
        <v>6</v>
      </c>
      <c r="U8">
        <v>20</v>
      </c>
      <c r="V8">
        <v>46</v>
      </c>
      <c r="W8">
        <f>Vs_Cesta_de_ouro_2[[#This Row],[FGA]]+Vs_Cesta_de_ouro_2[[#This Row],[TO]]-Vs_Cesta_de_ouro_2[[#This Row],[OR]]+(0.44*Vs_Cesta_de_ouro_2[[#This Row],[FTA]])</f>
        <v>85.16</v>
      </c>
      <c r="X8" s="1">
        <f>Vs_Cesta_de_ouro_2[[#This Row],[TO]]/Vs_Cesta_de_ouro_2[[#This Row],[POSSE]]</f>
        <v>0.54015969938938468</v>
      </c>
      <c r="Y8">
        <f>(Vs_Cesta_de_ouro_2[[#This Row],[PTS]]/Vs_Cesta_de_ouro_2[[#This Row],[POSSE]])*100</f>
        <v>30.530765617660876</v>
      </c>
      <c r="Z8">
        <f>(160*(Vs_Cesta_de_ouro_2[[#This Row],[POSSE]]+W9))/(2*160)</f>
        <v>84.960000000000008</v>
      </c>
      <c r="AA8">
        <f>Vs_Cesta_de_ouro_2[[#This Row],[PTS/100]]</f>
        <v>30.530765617660876</v>
      </c>
      <c r="AB8">
        <v>15.3</v>
      </c>
      <c r="AC8" s="1">
        <f>Vs_Cesta_de_ouro_2[[#This Row],[OFFRTG]]-Vs_Cesta_de_ouro_2[[#This Row],[DEFRTG]]</f>
        <v>15.230765617660875</v>
      </c>
    </row>
    <row r="9" spans="1:29" x14ac:dyDescent="0.3">
      <c r="A9" t="s">
        <v>58</v>
      </c>
      <c r="B9" t="s">
        <v>39</v>
      </c>
      <c r="C9" t="s">
        <v>120</v>
      </c>
      <c r="D9">
        <v>13</v>
      </c>
      <c r="E9">
        <v>6</v>
      </c>
      <c r="F9">
        <v>56</v>
      </c>
      <c r="G9" s="6">
        <f>Vs_Cesta_de_ouro_2[[#This Row],[FG]]/Vs_Cesta_de_ouro_2[[#This Row],[FGA]]</f>
        <v>0.10714285714285714</v>
      </c>
      <c r="H9">
        <v>6</v>
      </c>
      <c r="I9">
        <v>40</v>
      </c>
      <c r="J9">
        <v>150</v>
      </c>
      <c r="K9">
        <v>0</v>
      </c>
      <c r="L9">
        <v>16</v>
      </c>
      <c r="M9">
        <v>0</v>
      </c>
      <c r="N9">
        <v>1</v>
      </c>
      <c r="O9" t="s">
        <v>123</v>
      </c>
      <c r="P9" s="6">
        <f>Vs_Cesta_de_ouro_2[[#This Row],[FT]]/Vs_Cesta_de_ouro_2[[#This Row],[FTA]]</f>
        <v>0.25</v>
      </c>
      <c r="Q9">
        <v>27</v>
      </c>
      <c r="R9">
        <v>11</v>
      </c>
      <c r="S9">
        <v>16</v>
      </c>
      <c r="T9">
        <v>0</v>
      </c>
      <c r="U9">
        <v>24</v>
      </c>
      <c r="V9">
        <v>38</v>
      </c>
      <c r="W9">
        <f>Vs_Cesta_de_ouro_2[[#This Row],[FGA]]+Vs_Cesta_de_ouro_2[[#This Row],[TO]]-Vs_Cesta_de_ouro_2[[#This Row],[OR]]+(0.44*Vs_Cesta_de_ouro_2[[#This Row],[FTA]])</f>
        <v>84.76</v>
      </c>
      <c r="X9" s="1">
        <f>Vs_Cesta_de_ouro_2[[#This Row],[TO]]/Vs_Cesta_de_ouro_2[[#This Row],[POSSE]]</f>
        <v>0.44832468145351578</v>
      </c>
      <c r="Y9">
        <f>(Vs_Cesta_de_ouro_2[[#This Row],[PTS]]/Vs_Cesta_de_ouro_2[[#This Row],[POSSE]])*100</f>
        <v>15.337423312883436</v>
      </c>
      <c r="Z9">
        <f>Z8</f>
        <v>84.960000000000008</v>
      </c>
      <c r="AA9">
        <f>Vs_Cesta_de_ouro_2[[#This Row],[PTS/100]]</f>
        <v>15.337423312883436</v>
      </c>
      <c r="AB9">
        <v>30.5</v>
      </c>
      <c r="AC9" s="1">
        <f>Vs_Cesta_de_ouro_2[[#This Row],[OFFRTG]]-Vs_Cesta_de_ouro_2[[#This Row],[DEFRTG]]</f>
        <v>-15.162576687116564</v>
      </c>
    </row>
    <row r="10" spans="1:29" x14ac:dyDescent="0.3">
      <c r="A10" t="s">
        <v>39</v>
      </c>
      <c r="B10" t="s">
        <v>66</v>
      </c>
      <c r="C10" t="s">
        <v>129</v>
      </c>
      <c r="D10">
        <v>15</v>
      </c>
      <c r="E10">
        <v>7</v>
      </c>
      <c r="F10">
        <v>28</v>
      </c>
      <c r="G10" s="6">
        <f>Vs_Cesta_de_ouro_2[[#This Row],[FG]]/Vs_Cesta_de_ouro_2[[#This Row],[FGA]]</f>
        <v>0.25</v>
      </c>
      <c r="H10">
        <v>6</v>
      </c>
      <c r="I10">
        <v>24</v>
      </c>
      <c r="J10">
        <v>250</v>
      </c>
      <c r="K10">
        <v>1</v>
      </c>
      <c r="L10">
        <v>4</v>
      </c>
      <c r="M10">
        <v>250</v>
      </c>
      <c r="N10">
        <v>0</v>
      </c>
      <c r="O10" t="s">
        <v>127</v>
      </c>
      <c r="P10" s="6">
        <f>Vs_Cesta_de_ouro_2[[#This Row],[FT]]/Vs_Cesta_de_ouro_2[[#This Row],[FTA]]</f>
        <v>0</v>
      </c>
      <c r="Q10">
        <v>32</v>
      </c>
      <c r="R10">
        <v>5</v>
      </c>
      <c r="S10">
        <v>27</v>
      </c>
      <c r="T10">
        <v>4</v>
      </c>
      <c r="U10">
        <v>6</v>
      </c>
      <c r="V10">
        <v>43</v>
      </c>
      <c r="W10">
        <f>Vs_Cesta_de_ouro_2[[#This Row],[FGA]]+Vs_Cesta_de_ouro_2[[#This Row],[TO]]-Vs_Cesta_de_ouro_2[[#This Row],[OR]]+(0.44*Vs_Cesta_de_ouro_2[[#This Row],[FTA]])</f>
        <v>68.2</v>
      </c>
      <c r="X10" s="1">
        <f>Vs_Cesta_de_ouro_2[[#This Row],[TO]]/Vs_Cesta_de_ouro_2[[#This Row],[POSSE]]</f>
        <v>0.63049853372434017</v>
      </c>
      <c r="Y10">
        <f>(Vs_Cesta_de_ouro_2[[#This Row],[PTS]]/Vs_Cesta_de_ouro_2[[#This Row],[POSSE]])*100</f>
        <v>21.994134897360702</v>
      </c>
      <c r="Z10">
        <f>(160*(Vs_Cesta_de_ouro_2[[#This Row],[POSSE]]+W11))/(2*160)</f>
        <v>68.48</v>
      </c>
      <c r="AA10">
        <f>Vs_Cesta_de_ouro_2[[#This Row],[PTS/100]]</f>
        <v>21.994134897360702</v>
      </c>
      <c r="AB10">
        <v>58.2</v>
      </c>
      <c r="AC10" s="1">
        <f>Vs_Cesta_de_ouro_2[[#This Row],[OFFRTG]]-Vs_Cesta_de_ouro_2[[#This Row],[DEFRTG]]</f>
        <v>-36.205865102639301</v>
      </c>
    </row>
    <row r="11" spans="1:29" x14ac:dyDescent="0.3">
      <c r="A11" t="s">
        <v>66</v>
      </c>
      <c r="B11" t="s">
        <v>39</v>
      </c>
      <c r="C11" t="s">
        <v>120</v>
      </c>
      <c r="D11">
        <v>40</v>
      </c>
      <c r="E11">
        <v>19</v>
      </c>
      <c r="F11">
        <v>83</v>
      </c>
      <c r="G11" s="6">
        <f>Vs_Cesta_de_ouro_2[[#This Row],[FG]]/Vs_Cesta_de_ouro_2[[#This Row],[FGA]]</f>
        <v>0.2289156626506024</v>
      </c>
      <c r="H11">
        <v>19</v>
      </c>
      <c r="I11">
        <v>78</v>
      </c>
      <c r="J11">
        <v>244</v>
      </c>
      <c r="K11">
        <v>0</v>
      </c>
      <c r="L11">
        <v>5</v>
      </c>
      <c r="M11">
        <v>0</v>
      </c>
      <c r="N11">
        <v>2</v>
      </c>
      <c r="O11" t="s">
        <v>123</v>
      </c>
      <c r="P11" s="6">
        <f>Vs_Cesta_de_ouro_2[[#This Row],[FT]]/Vs_Cesta_de_ouro_2[[#This Row],[FTA]]</f>
        <v>0.5</v>
      </c>
      <c r="Q11">
        <v>36</v>
      </c>
      <c r="R11">
        <v>26</v>
      </c>
      <c r="S11">
        <v>10</v>
      </c>
      <c r="T11">
        <v>0</v>
      </c>
      <c r="U11">
        <v>29</v>
      </c>
      <c r="V11">
        <v>10</v>
      </c>
      <c r="W11">
        <f>Vs_Cesta_de_ouro_2[[#This Row],[FGA]]+Vs_Cesta_de_ouro_2[[#This Row],[TO]]-Vs_Cesta_de_ouro_2[[#This Row],[OR]]+(0.44*Vs_Cesta_de_ouro_2[[#This Row],[FTA]])</f>
        <v>68.760000000000005</v>
      </c>
      <c r="X11" s="1">
        <f>Vs_Cesta_de_ouro_2[[#This Row],[TO]]/Vs_Cesta_de_ouro_2[[#This Row],[POSSE]]</f>
        <v>0.14543339150668994</v>
      </c>
      <c r="Y11">
        <f>(Vs_Cesta_de_ouro_2[[#This Row],[PTS]]/Vs_Cesta_de_ouro_2[[#This Row],[POSSE]])*100</f>
        <v>58.173356602675973</v>
      </c>
      <c r="Z11">
        <f>Z10</f>
        <v>68.48</v>
      </c>
      <c r="AA11">
        <f>Vs_Cesta_de_ouro_2[[#This Row],[PTS/100]]</f>
        <v>58.173356602675973</v>
      </c>
      <c r="AB11">
        <v>22</v>
      </c>
      <c r="AC11" s="1">
        <f>Vs_Cesta_de_ouro_2[[#This Row],[OFFRTG]]-Vs_Cesta_de_ouro_2[[#This Row],[DEFRTG]]</f>
        <v>36.173356602675973</v>
      </c>
    </row>
    <row r="12" spans="1:29" x14ac:dyDescent="0.3">
      <c r="A12" t="s">
        <v>70</v>
      </c>
      <c r="B12" t="s">
        <v>39</v>
      </c>
      <c r="C12" t="s">
        <v>120</v>
      </c>
      <c r="D12">
        <v>28</v>
      </c>
      <c r="E12">
        <v>12</v>
      </c>
      <c r="F12">
        <v>50</v>
      </c>
      <c r="G12" s="6">
        <f>Vs_Cesta_de_ouro_2[[#This Row],[FG]]/Vs_Cesta_de_ouro_2[[#This Row],[FGA]]</f>
        <v>0.24</v>
      </c>
      <c r="H12">
        <v>12</v>
      </c>
      <c r="I12">
        <v>46</v>
      </c>
      <c r="J12">
        <v>261</v>
      </c>
      <c r="K12">
        <v>0</v>
      </c>
      <c r="L12">
        <v>4</v>
      </c>
      <c r="M12">
        <v>0</v>
      </c>
      <c r="N12">
        <v>4</v>
      </c>
      <c r="O12" t="s">
        <v>128</v>
      </c>
      <c r="P12" s="6">
        <f>Vs_Cesta_de_ouro_2[[#This Row],[FT]]/Vs_Cesta_de_ouro_2[[#This Row],[FTA]]</f>
        <v>0.5714285714285714</v>
      </c>
      <c r="Q12">
        <v>29</v>
      </c>
      <c r="R12">
        <v>15</v>
      </c>
      <c r="S12">
        <v>14</v>
      </c>
      <c r="T12">
        <v>0</v>
      </c>
      <c r="U12">
        <v>18</v>
      </c>
      <c r="V12">
        <v>32</v>
      </c>
      <c r="W12">
        <f>Vs_Cesta_de_ouro_2[[#This Row],[FGA]]+Vs_Cesta_de_ouro_2[[#This Row],[TO]]-Vs_Cesta_de_ouro_2[[#This Row],[OR]]+(0.44*Vs_Cesta_de_ouro_2[[#This Row],[FTA]])</f>
        <v>70.08</v>
      </c>
      <c r="X12" s="1">
        <f>Vs_Cesta_de_ouro_2[[#This Row],[TO]]/Vs_Cesta_de_ouro_2[[#This Row],[POSSE]]</f>
        <v>0.45662100456621008</v>
      </c>
      <c r="Y12">
        <f>(Vs_Cesta_de_ouro_2[[#This Row],[PTS]]/Vs_Cesta_de_ouro_2[[#This Row],[POSSE]])*100</f>
        <v>39.954337899543383</v>
      </c>
      <c r="Z12">
        <f>(160*(Vs_Cesta_de_ouro_2[[#This Row],[POSSE]]+W13))/(2*160)</f>
        <v>68.64</v>
      </c>
      <c r="AA12">
        <f>Vs_Cesta_de_ouro_2[[#This Row],[PTS/100]]</f>
        <v>39.954337899543383</v>
      </c>
      <c r="AB12">
        <v>23.8</v>
      </c>
      <c r="AC12" s="1">
        <f>Vs_Cesta_de_ouro_2[[#This Row],[OFFRTG]]-Vs_Cesta_de_ouro_2[[#This Row],[DEFRTG]]</f>
        <v>16.154337899543382</v>
      </c>
    </row>
    <row r="13" spans="1:29" x14ac:dyDescent="0.3">
      <c r="A13" t="s">
        <v>39</v>
      </c>
      <c r="B13" t="s">
        <v>70</v>
      </c>
      <c r="C13" t="s">
        <v>122</v>
      </c>
      <c r="D13">
        <v>16</v>
      </c>
      <c r="E13">
        <v>7</v>
      </c>
      <c r="F13">
        <v>31</v>
      </c>
      <c r="G13" s="6">
        <f>Vs_Cesta_de_ouro_2[[#This Row],[FG]]/Vs_Cesta_de_ouro_2[[#This Row],[FGA]]</f>
        <v>0.22580645161290322</v>
      </c>
      <c r="H13">
        <v>6</v>
      </c>
      <c r="I13">
        <v>20</v>
      </c>
      <c r="J13">
        <v>300</v>
      </c>
      <c r="K13">
        <v>1</v>
      </c>
      <c r="L13">
        <v>11</v>
      </c>
      <c r="M13">
        <v>91</v>
      </c>
      <c r="N13">
        <v>1</v>
      </c>
      <c r="O13" t="s">
        <v>127</v>
      </c>
      <c r="P13" s="6">
        <f>Vs_Cesta_de_ouro_2[[#This Row],[FT]]/Vs_Cesta_de_ouro_2[[#This Row],[FTA]]</f>
        <v>0.2</v>
      </c>
      <c r="Q13">
        <v>25</v>
      </c>
      <c r="R13">
        <v>10</v>
      </c>
      <c r="S13">
        <v>15</v>
      </c>
      <c r="T13">
        <v>4</v>
      </c>
      <c r="U13">
        <v>22</v>
      </c>
      <c r="V13">
        <v>44</v>
      </c>
      <c r="W13">
        <f>Vs_Cesta_de_ouro_2[[#This Row],[FGA]]+Vs_Cesta_de_ouro_2[[#This Row],[TO]]-Vs_Cesta_de_ouro_2[[#This Row],[OR]]+(0.44*Vs_Cesta_de_ouro_2[[#This Row],[FTA]])</f>
        <v>67.2</v>
      </c>
      <c r="X13" s="1">
        <f>Vs_Cesta_de_ouro_2[[#This Row],[TO]]/Vs_Cesta_de_ouro_2[[#This Row],[POSSE]]</f>
        <v>0.65476190476190477</v>
      </c>
      <c r="Y13">
        <f>(Vs_Cesta_de_ouro_2[[#This Row],[PTS]]/Vs_Cesta_de_ouro_2[[#This Row],[POSSE]])*100</f>
        <v>23.809523809523807</v>
      </c>
      <c r="Z13">
        <f>Z12</f>
        <v>68.64</v>
      </c>
      <c r="AA13">
        <f>Vs_Cesta_de_ouro_2[[#This Row],[PTS/100]]</f>
        <v>23.809523809523807</v>
      </c>
      <c r="AB13">
        <v>40</v>
      </c>
      <c r="AC13" s="1">
        <f>Vs_Cesta_de_ouro_2[[#This Row],[OFFRTG]]-Vs_Cesta_de_ouro_2[[#This Row],[DEFRTG]]</f>
        <v>-16.190476190476193</v>
      </c>
    </row>
    <row r="14" spans="1:29" x14ac:dyDescent="0.3">
      <c r="A14" t="s">
        <v>77</v>
      </c>
      <c r="B14" t="s">
        <v>39</v>
      </c>
      <c r="C14" t="s">
        <v>120</v>
      </c>
      <c r="D14">
        <v>40</v>
      </c>
      <c r="E14">
        <v>17</v>
      </c>
      <c r="F14">
        <v>54</v>
      </c>
      <c r="G14" s="6">
        <f>Vs_Cesta_de_ouro_2[[#This Row],[FG]]/Vs_Cesta_de_ouro_2[[#This Row],[FGA]]</f>
        <v>0.31481481481481483</v>
      </c>
      <c r="H14">
        <v>16</v>
      </c>
      <c r="I14">
        <v>51</v>
      </c>
      <c r="J14">
        <v>314</v>
      </c>
      <c r="K14">
        <v>1</v>
      </c>
      <c r="L14">
        <v>3</v>
      </c>
      <c r="M14">
        <v>333</v>
      </c>
      <c r="N14">
        <v>5</v>
      </c>
      <c r="O14" t="s">
        <v>124</v>
      </c>
      <c r="P14" s="6">
        <f>Vs_Cesta_de_ouro_2[[#This Row],[FT]]/Vs_Cesta_de_ouro_2[[#This Row],[FTA]]</f>
        <v>0.55555555555555558</v>
      </c>
      <c r="Q14">
        <v>41</v>
      </c>
      <c r="R14">
        <v>20</v>
      </c>
      <c r="S14">
        <v>21</v>
      </c>
      <c r="T14">
        <v>0</v>
      </c>
      <c r="U14">
        <v>12</v>
      </c>
      <c r="V14">
        <v>21</v>
      </c>
      <c r="W14">
        <f>Vs_Cesta_de_ouro_2[[#This Row],[FGA]]+Vs_Cesta_de_ouro_2[[#This Row],[TO]]-Vs_Cesta_de_ouro_2[[#This Row],[OR]]+(0.44*Vs_Cesta_de_ouro_2[[#This Row],[FTA]])</f>
        <v>58.96</v>
      </c>
      <c r="X14" s="1">
        <f>Vs_Cesta_de_ouro_2[[#This Row],[TO]]/Vs_Cesta_de_ouro_2[[#This Row],[POSSE]]</f>
        <v>0.35617367706919945</v>
      </c>
      <c r="Y14">
        <f>(Vs_Cesta_de_ouro_2[[#This Row],[PTS]]/Vs_Cesta_de_ouro_2[[#This Row],[POSSE]])*100</f>
        <v>67.84260515603799</v>
      </c>
      <c r="Z14">
        <f>(160*(Vs_Cesta_de_ouro_2[[#This Row],[POSSE]]+W15))/(2*160)</f>
        <v>57.92</v>
      </c>
      <c r="AA14">
        <f>Vs_Cesta_de_ouro_2[[#This Row],[PTS/100]]</f>
        <v>67.84260515603799</v>
      </c>
      <c r="AB14">
        <v>24.6</v>
      </c>
      <c r="AC14" s="1">
        <f>Vs_Cesta_de_ouro_2[[#This Row],[OFFRTG]]-Vs_Cesta_de_ouro_2[[#This Row],[DEFRTG]]</f>
        <v>43.242605156037989</v>
      </c>
    </row>
    <row r="15" spans="1:29" x14ac:dyDescent="0.3">
      <c r="A15" t="s">
        <v>39</v>
      </c>
      <c r="B15" t="s">
        <v>77</v>
      </c>
      <c r="C15" t="s">
        <v>126</v>
      </c>
      <c r="D15">
        <v>14</v>
      </c>
      <c r="E15">
        <v>5</v>
      </c>
      <c r="F15">
        <v>51</v>
      </c>
      <c r="G15" s="6">
        <f>Vs_Cesta_de_ouro_2[[#This Row],[FG]]/Vs_Cesta_de_ouro_2[[#This Row],[FGA]]</f>
        <v>9.8039215686274508E-2</v>
      </c>
      <c r="H15">
        <v>3</v>
      </c>
      <c r="I15">
        <v>35</v>
      </c>
      <c r="J15">
        <v>86</v>
      </c>
      <c r="K15">
        <v>2</v>
      </c>
      <c r="L15">
        <v>16</v>
      </c>
      <c r="M15">
        <v>125</v>
      </c>
      <c r="N15">
        <v>2</v>
      </c>
      <c r="O15" t="s">
        <v>131</v>
      </c>
      <c r="P15" s="6">
        <f>Vs_Cesta_de_ouro_2[[#This Row],[FT]]/Vs_Cesta_de_ouro_2[[#This Row],[FTA]]</f>
        <v>1</v>
      </c>
      <c r="Q15">
        <v>32</v>
      </c>
      <c r="R15">
        <v>19</v>
      </c>
      <c r="S15">
        <v>13</v>
      </c>
      <c r="T15">
        <v>3</v>
      </c>
      <c r="U15">
        <v>17</v>
      </c>
      <c r="V15">
        <v>24</v>
      </c>
      <c r="W15">
        <f>Vs_Cesta_de_ouro_2[[#This Row],[FGA]]+Vs_Cesta_de_ouro_2[[#This Row],[TO]]-Vs_Cesta_de_ouro_2[[#This Row],[OR]]+(0.44*Vs_Cesta_de_ouro_2[[#This Row],[FTA]])</f>
        <v>56.88</v>
      </c>
      <c r="X15" s="1">
        <f>Vs_Cesta_de_ouro_2[[#This Row],[TO]]/Vs_Cesta_de_ouro_2[[#This Row],[POSSE]]</f>
        <v>0.42194092827004215</v>
      </c>
      <c r="Y15">
        <f>(Vs_Cesta_de_ouro_2[[#This Row],[PTS]]/Vs_Cesta_de_ouro_2[[#This Row],[POSSE]])*100</f>
        <v>24.613220815752459</v>
      </c>
      <c r="Z15">
        <f>Z14</f>
        <v>57.92</v>
      </c>
      <c r="AA15">
        <f>Vs_Cesta_de_ouro_2[[#This Row],[PTS/100]]</f>
        <v>24.613220815752459</v>
      </c>
      <c r="AB15">
        <v>67.8</v>
      </c>
      <c r="AC15" s="1">
        <f>Vs_Cesta_de_ouro_2[[#This Row],[OFFRTG]]-Vs_Cesta_de_ouro_2[[#This Row],[DEFRTG]]</f>
        <v>-43.186779184247541</v>
      </c>
    </row>
    <row r="16" spans="1:29" x14ac:dyDescent="0.3">
      <c r="A16" t="s">
        <v>39</v>
      </c>
      <c r="B16" t="s">
        <v>89</v>
      </c>
      <c r="C16" t="s">
        <v>122</v>
      </c>
      <c r="D16">
        <v>34</v>
      </c>
      <c r="E16">
        <v>16</v>
      </c>
      <c r="F16">
        <v>45</v>
      </c>
      <c r="G16" s="6">
        <f>Vs_Cesta_de_ouro_2[[#This Row],[FG]]/Vs_Cesta_de_ouro_2[[#This Row],[FGA]]</f>
        <v>0.35555555555555557</v>
      </c>
      <c r="H16">
        <v>16</v>
      </c>
      <c r="I16">
        <v>41</v>
      </c>
      <c r="J16">
        <v>390</v>
      </c>
      <c r="K16">
        <v>0</v>
      </c>
      <c r="L16">
        <v>4</v>
      </c>
      <c r="M16">
        <v>0</v>
      </c>
      <c r="N16">
        <v>2</v>
      </c>
      <c r="O16" t="s">
        <v>132</v>
      </c>
      <c r="P16" s="6">
        <f>Vs_Cesta_de_ouro_2[[#This Row],[FT]]/Vs_Cesta_de_ouro_2[[#This Row],[FTA]]</f>
        <v>0.25</v>
      </c>
      <c r="Q16">
        <v>24</v>
      </c>
      <c r="R16">
        <v>13</v>
      </c>
      <c r="S16">
        <v>11</v>
      </c>
      <c r="T16">
        <v>8</v>
      </c>
      <c r="U16">
        <v>32</v>
      </c>
      <c r="V16">
        <v>28</v>
      </c>
      <c r="W16">
        <f>Vs_Cesta_de_ouro_2[[#This Row],[FGA]]+Vs_Cesta_de_ouro_2[[#This Row],[TO]]-Vs_Cesta_de_ouro_2[[#This Row],[OR]]+(0.44*Vs_Cesta_de_ouro_2[[#This Row],[FTA]])</f>
        <v>63.52</v>
      </c>
      <c r="X16" s="1">
        <f>Vs_Cesta_de_ouro_2[[#This Row],[TO]]/Vs_Cesta_de_ouro_2[[#This Row],[POSSE]]</f>
        <v>0.44080604534005036</v>
      </c>
      <c r="Y16">
        <f>(Vs_Cesta_de_ouro_2[[#This Row],[PTS]]/Vs_Cesta_de_ouro_2[[#This Row],[POSSE]])*100</f>
        <v>53.526448362720402</v>
      </c>
      <c r="Z16">
        <f>(160*(Vs_Cesta_de_ouro_2[[#This Row],[POSSE]]+W17))/(2*160)</f>
        <v>62.42</v>
      </c>
      <c r="AA16">
        <f>Vs_Cesta_de_ouro_2[[#This Row],[PTS/100]]</f>
        <v>53.526448362720402</v>
      </c>
      <c r="AB16">
        <v>14.7</v>
      </c>
      <c r="AC16" s="1">
        <f>Vs_Cesta_de_ouro_2[[#This Row],[OFFRTG]]-Vs_Cesta_de_ouro_2[[#This Row],[DEFRTG]]</f>
        <v>38.826448362720399</v>
      </c>
    </row>
    <row r="17" spans="1:29" x14ac:dyDescent="0.3">
      <c r="A17" t="s">
        <v>89</v>
      </c>
      <c r="B17" t="s">
        <v>39</v>
      </c>
      <c r="C17" t="s">
        <v>120</v>
      </c>
      <c r="D17">
        <v>9</v>
      </c>
      <c r="E17">
        <v>4</v>
      </c>
      <c r="F17">
        <v>26</v>
      </c>
      <c r="G17" s="6">
        <f>Vs_Cesta_de_ouro_2[[#This Row],[FG]]/Vs_Cesta_de_ouro_2[[#This Row],[FGA]]</f>
        <v>0.15384615384615385</v>
      </c>
      <c r="H17">
        <v>4</v>
      </c>
      <c r="I17">
        <v>24</v>
      </c>
      <c r="J17">
        <v>167</v>
      </c>
      <c r="K17">
        <v>0</v>
      </c>
      <c r="L17">
        <v>2</v>
      </c>
      <c r="M17">
        <v>0</v>
      </c>
      <c r="N17">
        <v>1</v>
      </c>
      <c r="O17" t="s">
        <v>133</v>
      </c>
      <c r="P17" s="6">
        <f>Vs_Cesta_de_ouro_2[[#This Row],[FT]]/Vs_Cesta_de_ouro_2[[#This Row],[FTA]]</f>
        <v>0.33333333333333331</v>
      </c>
      <c r="Q17">
        <v>17</v>
      </c>
      <c r="R17">
        <v>7</v>
      </c>
      <c r="S17">
        <v>10</v>
      </c>
      <c r="T17">
        <v>0</v>
      </c>
      <c r="U17">
        <v>10</v>
      </c>
      <c r="V17">
        <v>41</v>
      </c>
      <c r="W17">
        <f>Vs_Cesta_de_ouro_2[[#This Row],[FGA]]+Vs_Cesta_de_ouro_2[[#This Row],[TO]]-Vs_Cesta_de_ouro_2[[#This Row],[OR]]+(0.44*Vs_Cesta_de_ouro_2[[#This Row],[FTA]])</f>
        <v>61.32</v>
      </c>
      <c r="X17" s="1">
        <f>Vs_Cesta_de_ouro_2[[#This Row],[TO]]/Vs_Cesta_de_ouro_2[[#This Row],[POSSE]]</f>
        <v>0.6686236138290933</v>
      </c>
      <c r="Y17">
        <f>(Vs_Cesta_de_ouro_2[[#This Row],[PTS]]/Vs_Cesta_de_ouro_2[[#This Row],[POSSE]])*100</f>
        <v>14.677103718199607</v>
      </c>
      <c r="Z17">
        <f>Z16</f>
        <v>62.42</v>
      </c>
      <c r="AA17">
        <f>Vs_Cesta_de_ouro_2[[#This Row],[PTS/100]]</f>
        <v>14.677103718199607</v>
      </c>
      <c r="AB17">
        <v>53.5</v>
      </c>
      <c r="AC17" s="1">
        <f>Vs_Cesta_de_ouro_2[[#This Row],[OFFRTG]]-Vs_Cesta_de_ouro_2[[#This Row],[DEFRTG]]</f>
        <v>-38.822896281800396</v>
      </c>
    </row>
    <row r="18" spans="1:29" x14ac:dyDescent="0.3">
      <c r="A18" t="s">
        <v>39</v>
      </c>
      <c r="B18" t="s">
        <v>96</v>
      </c>
      <c r="C18" t="s">
        <v>122</v>
      </c>
      <c r="D18">
        <v>7</v>
      </c>
      <c r="E18">
        <v>3</v>
      </c>
      <c r="F18">
        <v>29</v>
      </c>
      <c r="G18" s="6">
        <f>Vs_Cesta_de_ouro_2[[#This Row],[FG]]/Vs_Cesta_de_ouro_2[[#This Row],[FGA]]</f>
        <v>0.10344827586206896</v>
      </c>
      <c r="H18">
        <v>3</v>
      </c>
      <c r="I18">
        <v>22</v>
      </c>
      <c r="J18">
        <v>136</v>
      </c>
      <c r="K18">
        <v>0</v>
      </c>
      <c r="L18">
        <v>7</v>
      </c>
      <c r="M18">
        <v>0</v>
      </c>
      <c r="N18">
        <v>1</v>
      </c>
      <c r="O18" t="s">
        <v>131</v>
      </c>
      <c r="P18" s="6">
        <f>Vs_Cesta_de_ouro_2[[#This Row],[FT]]/Vs_Cesta_de_ouro_2[[#This Row],[FTA]]</f>
        <v>0.5</v>
      </c>
      <c r="Q18">
        <v>15</v>
      </c>
      <c r="R18">
        <v>7</v>
      </c>
      <c r="S18">
        <v>8</v>
      </c>
      <c r="T18">
        <v>2</v>
      </c>
      <c r="U18">
        <v>9</v>
      </c>
      <c r="V18">
        <v>18</v>
      </c>
      <c r="W18">
        <f>Vs_Cesta_de_ouro_2[[#This Row],[FGA]]+Vs_Cesta_de_ouro_2[[#This Row],[TO]]-Vs_Cesta_de_ouro_2[[#This Row],[OR]]+(0.44*Vs_Cesta_de_ouro_2[[#This Row],[FTA]])</f>
        <v>40.880000000000003</v>
      </c>
      <c r="X18" s="1">
        <f>Vs_Cesta_de_ouro_2[[#This Row],[TO]]/Vs_Cesta_de_ouro_2[[#This Row],[POSSE]]</f>
        <v>0.44031311154598823</v>
      </c>
      <c r="Y18">
        <f>(Vs_Cesta_de_ouro_2[[#This Row],[PTS]]/Vs_Cesta_de_ouro_2[[#This Row],[POSSE]])*100</f>
        <v>17.123287671232877</v>
      </c>
      <c r="Z18">
        <f>(160*(Vs_Cesta_de_ouro_2[[#This Row],[POSSE]]+W19))/(2*160)</f>
        <v>43.040000000000006</v>
      </c>
      <c r="AA18">
        <f>Vs_Cesta_de_ouro_2[[#This Row],[PTS/100]]</f>
        <v>17.123287671232877</v>
      </c>
      <c r="AB18">
        <v>48.7</v>
      </c>
      <c r="AC18" s="1">
        <f>Vs_Cesta_de_ouro_2[[#This Row],[OFFRTG]]-Vs_Cesta_de_ouro_2[[#This Row],[DEFRTG]]</f>
        <v>-31.576712328767126</v>
      </c>
    </row>
    <row r="19" spans="1:29" x14ac:dyDescent="0.3">
      <c r="A19" t="s">
        <v>96</v>
      </c>
      <c r="B19" t="s">
        <v>39</v>
      </c>
      <c r="C19" t="s">
        <v>120</v>
      </c>
      <c r="D19">
        <v>22</v>
      </c>
      <c r="E19">
        <v>9</v>
      </c>
      <c r="F19">
        <v>37</v>
      </c>
      <c r="G19" s="6">
        <f>Vs_Cesta_de_ouro_2[[#This Row],[FG]]/Vs_Cesta_de_ouro_2[[#This Row],[FGA]]</f>
        <v>0.24324324324324326</v>
      </c>
      <c r="H19">
        <v>8</v>
      </c>
      <c r="I19">
        <v>27</v>
      </c>
      <c r="J19">
        <v>296</v>
      </c>
      <c r="K19">
        <v>1</v>
      </c>
      <c r="L19">
        <v>10</v>
      </c>
      <c r="M19">
        <v>100</v>
      </c>
      <c r="N19">
        <v>3</v>
      </c>
      <c r="O19" t="s">
        <v>127</v>
      </c>
      <c r="P19" s="6">
        <f>Vs_Cesta_de_ouro_2[[#This Row],[FT]]/Vs_Cesta_de_ouro_2[[#This Row],[FTA]]</f>
        <v>0.6</v>
      </c>
      <c r="Q19">
        <v>28</v>
      </c>
      <c r="R19">
        <v>13</v>
      </c>
      <c r="S19">
        <v>15</v>
      </c>
      <c r="T19">
        <v>0</v>
      </c>
      <c r="U19">
        <v>7</v>
      </c>
      <c r="V19">
        <v>19</v>
      </c>
      <c r="W19">
        <f>Vs_Cesta_de_ouro_2[[#This Row],[FGA]]+Vs_Cesta_de_ouro_2[[#This Row],[TO]]-Vs_Cesta_de_ouro_2[[#This Row],[OR]]+(0.44*Vs_Cesta_de_ouro_2[[#This Row],[FTA]])</f>
        <v>45.2</v>
      </c>
      <c r="X19" s="1">
        <f>Vs_Cesta_de_ouro_2[[#This Row],[TO]]/Vs_Cesta_de_ouro_2[[#This Row],[POSSE]]</f>
        <v>0.42035398230088494</v>
      </c>
      <c r="Y19">
        <f>(Vs_Cesta_de_ouro_2[[#This Row],[PTS]]/Vs_Cesta_de_ouro_2[[#This Row],[POSSE]])*100</f>
        <v>48.672566371681413</v>
      </c>
      <c r="Z19">
        <f>Z18</f>
        <v>43.040000000000006</v>
      </c>
      <c r="AA19">
        <f>Vs_Cesta_de_ouro_2[[#This Row],[PTS/100]]</f>
        <v>48.672566371681413</v>
      </c>
      <c r="AB19">
        <v>17.100000000000001</v>
      </c>
      <c r="AC19" s="1">
        <f>Vs_Cesta_de_ouro_2[[#This Row],[OFFRTG]]-Vs_Cesta_de_ouro_2[[#This Row],[DEFRTG]]</f>
        <v>31.572566371681411</v>
      </c>
    </row>
    <row r="20" spans="1:29" x14ac:dyDescent="0.3">
      <c r="A20" t="s">
        <v>39</v>
      </c>
      <c r="B20" t="s">
        <v>134</v>
      </c>
      <c r="C20" t="s">
        <v>126</v>
      </c>
      <c r="D20">
        <v>7</v>
      </c>
      <c r="E20">
        <v>2</v>
      </c>
      <c r="F20">
        <v>38</v>
      </c>
      <c r="G20" s="6">
        <f>Vs_Cesta_de_ouro_2[[#This Row],[FG]]/Vs_Cesta_de_ouro_2[[#This Row],[FGA]]</f>
        <v>5.2631578947368418E-2</v>
      </c>
      <c r="H20">
        <v>2</v>
      </c>
      <c r="I20">
        <v>23</v>
      </c>
      <c r="J20">
        <v>87</v>
      </c>
      <c r="K20">
        <v>0</v>
      </c>
      <c r="L20">
        <v>15</v>
      </c>
      <c r="M20">
        <v>0</v>
      </c>
      <c r="N20">
        <v>3</v>
      </c>
      <c r="O20" t="s">
        <v>132</v>
      </c>
      <c r="P20" s="6">
        <f>Vs_Cesta_de_ouro_2[[#This Row],[FT]]/Vs_Cesta_de_ouro_2[[#This Row],[FTA]]</f>
        <v>0.375</v>
      </c>
      <c r="Q20">
        <v>23</v>
      </c>
      <c r="R20">
        <v>9</v>
      </c>
      <c r="S20">
        <v>14</v>
      </c>
      <c r="T20">
        <v>2</v>
      </c>
      <c r="U20">
        <v>12</v>
      </c>
      <c r="V20">
        <v>35</v>
      </c>
      <c r="W20">
        <f>Vs_Cesta_de_ouro_2[[#This Row],[FGA]]+Vs_Cesta_de_ouro_2[[#This Row],[TO]]-Vs_Cesta_de_ouro_2[[#This Row],[OR]]+(0.44*Vs_Cesta_de_ouro_2[[#This Row],[FTA]])</f>
        <v>67.52</v>
      </c>
      <c r="X20" s="1">
        <f>Vs_Cesta_de_ouro_2[[#This Row],[TO]]/Vs_Cesta_de_ouro_2[[#This Row],[POSSE]]</f>
        <v>0.51836492890995267</v>
      </c>
      <c r="Y20">
        <f>(Vs_Cesta_de_ouro_2[[#This Row],[PTS]]/Vs_Cesta_de_ouro_2[[#This Row],[POSSE]])*100</f>
        <v>10.367298578199053</v>
      </c>
      <c r="Z20">
        <f>(160*(Vs_Cesta_de_ouro_2[[#This Row],[POSSE]]+W21))/(2*160)</f>
        <v>67.900000000000006</v>
      </c>
      <c r="AA20">
        <f>Vs_Cesta_de_ouro_2[[#This Row],[PTS/100]]</f>
        <v>10.367298578199053</v>
      </c>
      <c r="AB20">
        <v>42.5</v>
      </c>
      <c r="AC20" s="1">
        <f>Vs_Cesta_de_ouro_2[[#This Row],[OFFRTG]]-Vs_Cesta_de_ouro_2[[#This Row],[DEFRTG]]</f>
        <v>-32.132701421800945</v>
      </c>
    </row>
    <row r="21" spans="1:29" x14ac:dyDescent="0.3">
      <c r="A21" t="s">
        <v>105</v>
      </c>
      <c r="B21" t="s">
        <v>39</v>
      </c>
      <c r="C21" t="s">
        <v>120</v>
      </c>
      <c r="D21">
        <v>29</v>
      </c>
      <c r="E21">
        <v>13</v>
      </c>
      <c r="F21">
        <v>46</v>
      </c>
      <c r="G21" s="6">
        <f>Vs_Cesta_de_ouro_2[[#This Row],[FG]]/Vs_Cesta_de_ouro_2[[#This Row],[FGA]]</f>
        <v>0.28260869565217389</v>
      </c>
      <c r="H21">
        <v>13</v>
      </c>
      <c r="I21">
        <v>41</v>
      </c>
      <c r="J21">
        <v>317</v>
      </c>
      <c r="K21">
        <v>0</v>
      </c>
      <c r="L21">
        <v>5</v>
      </c>
      <c r="M21">
        <v>0</v>
      </c>
      <c r="N21">
        <v>3</v>
      </c>
      <c r="O21" t="s">
        <v>135</v>
      </c>
      <c r="P21" s="6">
        <f>Vs_Cesta_de_ouro_2[[#This Row],[FT]]/Vs_Cesta_de_ouro_2[[#This Row],[FTA]]</f>
        <v>0.25</v>
      </c>
      <c r="Q21">
        <v>36</v>
      </c>
      <c r="R21">
        <v>16</v>
      </c>
      <c r="S21">
        <v>20</v>
      </c>
      <c r="T21">
        <v>0</v>
      </c>
      <c r="U21">
        <v>17</v>
      </c>
      <c r="V21">
        <v>33</v>
      </c>
      <c r="W21">
        <f>Vs_Cesta_de_ouro_2[[#This Row],[FGA]]+Vs_Cesta_de_ouro_2[[#This Row],[TO]]-Vs_Cesta_de_ouro_2[[#This Row],[OR]]+(0.44*Vs_Cesta_de_ouro_2[[#This Row],[FTA]])</f>
        <v>68.28</v>
      </c>
      <c r="X21" s="1">
        <f>Vs_Cesta_de_ouro_2[[#This Row],[TO]]/Vs_Cesta_de_ouro_2[[#This Row],[POSSE]]</f>
        <v>0.48330404217926187</v>
      </c>
      <c r="Y21">
        <f>(Vs_Cesta_de_ouro_2[[#This Row],[PTS]]/Vs_Cesta_de_ouro_2[[#This Row],[POSSE]])*100</f>
        <v>42.472173403632105</v>
      </c>
      <c r="Z21">
        <f>Z20</f>
        <v>67.900000000000006</v>
      </c>
      <c r="AA21">
        <f>Vs_Cesta_de_ouro_2[[#This Row],[PTS/100]]</f>
        <v>42.472173403632105</v>
      </c>
      <c r="AB21">
        <v>10.4</v>
      </c>
      <c r="AC21" s="1">
        <f>Vs_Cesta_de_ouro_2[[#This Row],[OFFRTG]]-Vs_Cesta_de_ouro_2[[#This Row],[DEFRTG]]</f>
        <v>32.072173403632107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1377C-53A1-42D7-96C4-52936C255B00}">
  <dimension ref="A1:AF3"/>
  <sheetViews>
    <sheetView workbookViewId="0"/>
  </sheetViews>
  <sheetFormatPr defaultRowHeight="14.4" x14ac:dyDescent="0.3"/>
  <cols>
    <col min="1" max="1" width="7.77734375" bestFit="1" customWidth="1"/>
    <col min="2" max="2" width="8.44140625" bestFit="1" customWidth="1"/>
    <col min="3" max="3" width="6.109375" bestFit="1" customWidth="1"/>
    <col min="4" max="4" width="5.6640625" bestFit="1" customWidth="1"/>
    <col min="5" max="5" width="6.5546875" bestFit="1" customWidth="1"/>
    <col min="6" max="6" width="6.33203125" bestFit="1" customWidth="1"/>
    <col min="7" max="7" width="6.77734375" bestFit="1" customWidth="1"/>
    <col min="8" max="8" width="9.6640625" bestFit="1" customWidth="1"/>
    <col min="9" max="9" width="7.109375" bestFit="1" customWidth="1"/>
    <col min="10" max="10" width="9.21875" bestFit="1" customWidth="1"/>
    <col min="11" max="11" width="6.88671875" bestFit="1" customWidth="1"/>
    <col min="12" max="12" width="9.21875" bestFit="1" customWidth="1"/>
    <col min="13" max="13" width="6.88671875" bestFit="1" customWidth="1"/>
    <col min="14" max="14" width="8.77734375" bestFit="1" customWidth="1"/>
    <col min="15" max="15" width="6.6640625" bestFit="1" customWidth="1"/>
    <col min="16" max="16" width="6.44140625" bestFit="1" customWidth="1"/>
    <col min="17" max="17" width="5.6640625" bestFit="1" customWidth="1"/>
    <col min="18" max="18" width="5.5546875" bestFit="1" customWidth="1"/>
    <col min="19" max="19" width="6.33203125" bestFit="1" customWidth="1"/>
    <col min="20" max="20" width="6.109375" bestFit="1" customWidth="1"/>
    <col min="21" max="21" width="6.33203125" bestFit="1" customWidth="1"/>
    <col min="22" max="22" width="7.44140625" bestFit="1" customWidth="1"/>
    <col min="23" max="23" width="6.44140625" bestFit="1" customWidth="1"/>
    <col min="24" max="24" width="5.44140625" bestFit="1" customWidth="1"/>
    <col min="25" max="25" width="6.5546875" bestFit="1" customWidth="1"/>
    <col min="26" max="26" width="6.6640625" bestFit="1" customWidth="1"/>
    <col min="27" max="27" width="6.21875" bestFit="1" customWidth="1"/>
    <col min="28" max="28" width="6" bestFit="1" customWidth="1"/>
    <col min="29" max="29" width="6.21875" bestFit="1" customWidth="1"/>
    <col min="30" max="30" width="5.33203125" bestFit="1" customWidth="1"/>
    <col min="31" max="31" width="6.44140625" bestFit="1" customWidth="1"/>
    <col min="32" max="32" width="6.21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53</v>
      </c>
    </row>
    <row r="2" spans="1:32" x14ac:dyDescent="0.3">
      <c r="A2" t="s">
        <v>39</v>
      </c>
      <c r="B2" t="s">
        <v>40</v>
      </c>
      <c r="C2" t="s">
        <v>32</v>
      </c>
      <c r="D2" t="s">
        <v>34</v>
      </c>
      <c r="E2" t="s">
        <v>34</v>
      </c>
      <c r="F2">
        <v>26</v>
      </c>
      <c r="G2">
        <v>260</v>
      </c>
      <c r="H2" t="s">
        <v>54</v>
      </c>
      <c r="I2">
        <v>244</v>
      </c>
      <c r="J2" t="s">
        <v>55</v>
      </c>
      <c r="K2">
        <v>257</v>
      </c>
      <c r="L2" t="s">
        <v>56</v>
      </c>
      <c r="M2">
        <v>200</v>
      </c>
      <c r="N2" t="s">
        <v>57</v>
      </c>
      <c r="O2">
        <v>143</v>
      </c>
      <c r="P2">
        <v>39</v>
      </c>
      <c r="Q2">
        <v>12</v>
      </c>
      <c r="R2">
        <v>27</v>
      </c>
      <c r="S2">
        <v>6</v>
      </c>
      <c r="T2">
        <v>20</v>
      </c>
      <c r="U2">
        <v>0</v>
      </c>
      <c r="V2">
        <v>0</v>
      </c>
      <c r="W2">
        <v>0</v>
      </c>
      <c r="X2">
        <v>46</v>
      </c>
      <c r="Y2">
        <v>11</v>
      </c>
      <c r="Z2">
        <v>6</v>
      </c>
      <c r="AA2">
        <v>-7</v>
      </c>
      <c r="AB2">
        <v>-1</v>
      </c>
      <c r="AC2">
        <v>59</v>
      </c>
      <c r="AD2">
        <v>6</v>
      </c>
      <c r="AE2">
        <v>0</v>
      </c>
      <c r="AF2">
        <v>0</v>
      </c>
    </row>
    <row r="3" spans="1:32" x14ac:dyDescent="0.3">
      <c r="A3" t="s">
        <v>58</v>
      </c>
      <c r="B3" t="s">
        <v>0</v>
      </c>
      <c r="C3" t="s">
        <v>32</v>
      </c>
      <c r="D3" t="s">
        <v>33</v>
      </c>
      <c r="E3" t="s">
        <v>34</v>
      </c>
      <c r="F3">
        <v>13</v>
      </c>
      <c r="G3">
        <v>130</v>
      </c>
      <c r="H3" t="s">
        <v>59</v>
      </c>
      <c r="I3">
        <v>107</v>
      </c>
      <c r="J3" t="s">
        <v>60</v>
      </c>
      <c r="K3">
        <v>150</v>
      </c>
      <c r="L3" t="s">
        <v>61</v>
      </c>
      <c r="M3">
        <v>0</v>
      </c>
      <c r="N3" t="s">
        <v>62</v>
      </c>
      <c r="O3">
        <v>250</v>
      </c>
      <c r="P3">
        <v>27</v>
      </c>
      <c r="Q3">
        <v>11</v>
      </c>
      <c r="R3">
        <v>16</v>
      </c>
      <c r="S3">
        <v>0</v>
      </c>
      <c r="T3">
        <v>24</v>
      </c>
      <c r="U3">
        <v>0</v>
      </c>
      <c r="V3">
        <v>0</v>
      </c>
      <c r="W3">
        <v>0</v>
      </c>
      <c r="X3">
        <v>38</v>
      </c>
      <c r="Y3">
        <v>6</v>
      </c>
      <c r="Z3">
        <v>2</v>
      </c>
      <c r="AA3">
        <v>-40</v>
      </c>
      <c r="AB3">
        <v>-27</v>
      </c>
      <c r="AC3">
        <v>-13</v>
      </c>
      <c r="AD3">
        <v>13</v>
      </c>
      <c r="AE3">
        <v>0</v>
      </c>
      <c r="AF3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222727-AC68-4B8C-86B3-A7DCBEFB53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Vs PASPOA</vt:lpstr>
      <vt:lpstr>Vs Chapel</vt:lpstr>
      <vt:lpstr>Vs British</vt:lpstr>
      <vt:lpstr>Vs Graded</vt:lpstr>
      <vt:lpstr>Vs Colégio militar</vt:lpstr>
      <vt:lpstr>Vs EAC</vt:lpstr>
      <vt:lpstr>Vs Cesta de ouro1</vt:lpstr>
      <vt:lpstr>Vs Insana Unb</vt:lpstr>
      <vt:lpstr>TEAM REPORT</vt:lpstr>
      <vt:lpstr>Vs_Cesta_de_ouro_2</vt:lpstr>
      <vt:lpstr>Vs 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Danziger Guimarães de Andrade</dc:creator>
  <cp:lastModifiedBy>Lucas Danziger Guimarães de Andrade</cp:lastModifiedBy>
  <dcterms:created xsi:type="dcterms:W3CDTF">2025-11-13T12:39:19Z</dcterms:created>
  <dcterms:modified xsi:type="dcterms:W3CDTF">2025-12-01T23:18:14Z</dcterms:modified>
</cp:coreProperties>
</file>